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a094b8c0d0114c/Documents/Data Analytics Project/HR Analytics/Dataset/"/>
    </mc:Choice>
  </mc:AlternateContent>
  <xr:revisionPtr revIDLastSave="50" documentId="8_{C907D153-3B3E-4D22-879A-1B508912BC44}" xr6:coauthVersionLast="47" xr6:coauthVersionMax="47" xr10:uidLastSave="{1A5BAA2A-D610-4AE3-B778-FAA2EF3788A8}"/>
  <bookViews>
    <workbookView xWindow="-108" yWindow="-108" windowWidth="23256" windowHeight="12456" xr2:uid="{D29A4244-2205-40DF-855B-06AE6A11D362}"/>
  </bookViews>
  <sheets>
    <sheet name="HR-Employee-Attrition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3" i="1" l="1" a="1"/>
  <c r="AO3" i="1" s="1"/>
  <c r="AO4" i="1" a="1"/>
  <c r="AO4" i="1" s="1"/>
  <c r="AO5" i="1" a="1"/>
  <c r="AO5" i="1" s="1"/>
  <c r="AO6" i="1" a="1"/>
  <c r="AO6" i="1" s="1"/>
  <c r="AO7" i="1" a="1"/>
  <c r="AO7" i="1" s="1"/>
  <c r="AO8" i="1" a="1"/>
  <c r="AO8" i="1" s="1"/>
  <c r="AO9" i="1" a="1"/>
  <c r="AO9" i="1" s="1"/>
  <c r="AO10" i="1" a="1"/>
  <c r="AO10" i="1"/>
  <c r="AO11" i="1" a="1"/>
  <c r="AO11" i="1" s="1"/>
  <c r="AO12" i="1" a="1"/>
  <c r="AO12" i="1" s="1"/>
  <c r="AO13" i="1" a="1"/>
  <c r="AO13" i="1" s="1"/>
  <c r="AO14" i="1" a="1"/>
  <c r="AO14" i="1" s="1"/>
  <c r="AO15" i="1" a="1"/>
  <c r="AO15" i="1" s="1"/>
  <c r="AO16" i="1" a="1"/>
  <c r="AO16" i="1" s="1"/>
  <c r="AO17" i="1" a="1"/>
  <c r="AO17" i="1" s="1"/>
  <c r="AO18" i="1" a="1"/>
  <c r="AO18" i="1"/>
  <c r="AO19" i="1" a="1"/>
  <c r="AO19" i="1" s="1"/>
  <c r="AO20" i="1" a="1"/>
  <c r="AO20" i="1" s="1"/>
  <c r="AO21" i="1" a="1"/>
  <c r="AO21" i="1" s="1"/>
  <c r="AO22" i="1" a="1"/>
  <c r="AO22" i="1" s="1"/>
  <c r="AO23" i="1" a="1"/>
  <c r="AO23" i="1" s="1"/>
  <c r="AO24" i="1" a="1"/>
  <c r="AO24" i="1" s="1"/>
  <c r="AO25" i="1" a="1"/>
  <c r="AO25" i="1" s="1"/>
  <c r="AO26" i="1" a="1"/>
  <c r="AO26" i="1"/>
  <c r="AO27" i="1" a="1"/>
  <c r="AO27" i="1" s="1"/>
  <c r="AO28" i="1" a="1"/>
  <c r="AO28" i="1" s="1"/>
  <c r="AO29" i="1" a="1"/>
  <c r="AO29" i="1" s="1"/>
  <c r="AO30" i="1" a="1"/>
  <c r="AO30" i="1"/>
  <c r="AO31" i="1" a="1"/>
  <c r="AO31" i="1" s="1"/>
  <c r="AO32" i="1" a="1"/>
  <c r="AO32" i="1" s="1"/>
  <c r="AO33" i="1" a="1"/>
  <c r="AO33" i="1" s="1"/>
  <c r="AO34" i="1" a="1"/>
  <c r="AO34" i="1" s="1"/>
  <c r="AO35" i="1" a="1"/>
  <c r="AO35" i="1"/>
  <c r="AO36" i="1" a="1"/>
  <c r="AO36" i="1"/>
  <c r="AO37" i="1" a="1"/>
  <c r="AO37" i="1"/>
  <c r="AO38" i="1" a="1"/>
  <c r="AO38" i="1"/>
  <c r="AO39" i="1" a="1"/>
  <c r="AO39" i="1" s="1"/>
  <c r="AO40" i="1" a="1"/>
  <c r="AO40" i="1" s="1"/>
  <c r="AO41" i="1" a="1"/>
  <c r="AO41" i="1"/>
  <c r="AO42" i="1" a="1"/>
  <c r="AO42" i="1" s="1"/>
  <c r="AO43" i="1" a="1"/>
  <c r="AO43" i="1"/>
  <c r="AO44" i="1" a="1"/>
  <c r="AO44" i="1" s="1"/>
  <c r="AO45" i="1" a="1"/>
  <c r="AO45" i="1" s="1"/>
  <c r="AO46" i="1" a="1"/>
  <c r="AO46" i="1" s="1"/>
  <c r="AO47" i="1" a="1"/>
  <c r="AO47" i="1" s="1"/>
  <c r="AO48" i="1" a="1"/>
  <c r="AO48" i="1" s="1"/>
  <c r="AO49" i="1" a="1"/>
  <c r="AO49" i="1" s="1"/>
  <c r="AO50" i="1" a="1"/>
  <c r="AO50" i="1" s="1"/>
  <c r="AO51" i="1" a="1"/>
  <c r="AO51" i="1" s="1"/>
  <c r="AO52" i="1" a="1"/>
  <c r="AO52" i="1" s="1"/>
  <c r="AO53" i="1" a="1"/>
  <c r="AO53" i="1" s="1"/>
  <c r="AO54" i="1" a="1"/>
  <c r="AO54" i="1" s="1"/>
  <c r="AO55" i="1" a="1"/>
  <c r="AO55" i="1" s="1"/>
  <c r="AO56" i="1" a="1"/>
  <c r="AO56" i="1" s="1"/>
  <c r="AO57" i="1" a="1"/>
  <c r="AO57" i="1" s="1"/>
  <c r="AO58" i="1" a="1"/>
  <c r="AO58" i="1"/>
  <c r="AO59" i="1" a="1"/>
  <c r="AO59" i="1" s="1"/>
  <c r="AO60" i="1" a="1"/>
  <c r="AO60" i="1" s="1"/>
  <c r="AO61" i="1" a="1"/>
  <c r="AO61" i="1"/>
  <c r="AO62" i="1" a="1"/>
  <c r="AO62" i="1"/>
  <c r="AO63" i="1" a="1"/>
  <c r="AO63" i="1" s="1"/>
  <c r="AO64" i="1" a="1"/>
  <c r="AO64" i="1" s="1"/>
  <c r="AO65" i="1" a="1"/>
  <c r="AO65" i="1" s="1"/>
  <c r="AO66" i="1" a="1"/>
  <c r="AO66" i="1" s="1"/>
  <c r="AO67" i="1" a="1"/>
  <c r="AO67" i="1" s="1"/>
  <c r="AO68" i="1" a="1"/>
  <c r="AO68" i="1" s="1"/>
  <c r="AO69" i="1" a="1"/>
  <c r="AO69" i="1" s="1"/>
  <c r="AO70" i="1" a="1"/>
  <c r="AO70" i="1" s="1"/>
  <c r="AO71" i="1" a="1"/>
  <c r="AO71" i="1" s="1"/>
  <c r="AO72" i="1" a="1"/>
  <c r="AO72" i="1"/>
  <c r="AO73" i="1" a="1"/>
  <c r="AO73" i="1" s="1"/>
  <c r="AO74" i="1" a="1"/>
  <c r="AO74" i="1" s="1"/>
  <c r="AO75" i="1" a="1"/>
  <c r="AO75" i="1" s="1"/>
  <c r="AO76" i="1" a="1"/>
  <c r="AO76" i="1"/>
  <c r="AO77" i="1" a="1"/>
  <c r="AO77" i="1" s="1"/>
  <c r="AO78" i="1" a="1"/>
  <c r="AO78" i="1" s="1"/>
  <c r="AO79" i="1" a="1"/>
  <c r="AO79" i="1" s="1"/>
  <c r="AO80" i="1" a="1"/>
  <c r="AO80" i="1" s="1"/>
  <c r="AO81" i="1" a="1"/>
  <c r="AO81" i="1" s="1"/>
  <c r="AO82" i="1" a="1"/>
  <c r="AO82" i="1" s="1"/>
  <c r="AO83" i="1" a="1"/>
  <c r="AO83" i="1" s="1"/>
  <c r="AO84" i="1" a="1"/>
  <c r="AO84" i="1" s="1"/>
  <c r="AO85" i="1" a="1"/>
  <c r="AO85" i="1" s="1"/>
  <c r="AO86" i="1" a="1"/>
  <c r="AO86" i="1" s="1"/>
  <c r="AO87" i="1" a="1"/>
  <c r="AO87" i="1" s="1"/>
  <c r="AO88" i="1" a="1"/>
  <c r="AO88" i="1" s="1"/>
  <c r="AO89" i="1" a="1"/>
  <c r="AO89" i="1" s="1"/>
  <c r="AO90" i="1" a="1"/>
  <c r="AO90" i="1" s="1"/>
  <c r="AO91" i="1" a="1"/>
  <c r="AO91" i="1" s="1"/>
  <c r="AO92" i="1" a="1"/>
  <c r="AO92" i="1" s="1"/>
  <c r="AO93" i="1" a="1"/>
  <c r="AO93" i="1" s="1"/>
  <c r="AO94" i="1" a="1"/>
  <c r="AO94" i="1"/>
  <c r="AO95" i="1" a="1"/>
  <c r="AO95" i="1" s="1"/>
  <c r="AO96" i="1" a="1"/>
  <c r="AO96" i="1" s="1"/>
  <c r="AO97" i="1" a="1"/>
  <c r="AO97" i="1" s="1"/>
  <c r="AO98" i="1" a="1"/>
  <c r="AO98" i="1" s="1"/>
  <c r="AO99" i="1" a="1"/>
  <c r="AO99" i="1" s="1"/>
  <c r="AO100" i="1" a="1"/>
  <c r="AO100" i="1" s="1"/>
  <c r="AO101" i="1" a="1"/>
  <c r="AO101" i="1" s="1"/>
  <c r="AO102" i="1" a="1"/>
  <c r="AO102" i="1" s="1"/>
  <c r="AO103" i="1" a="1"/>
  <c r="AO103" i="1" s="1"/>
  <c r="AO104" i="1" a="1"/>
  <c r="AO104" i="1"/>
  <c r="AO105" i="1" a="1"/>
  <c r="AO105" i="1" s="1"/>
  <c r="AO106" i="1" a="1"/>
  <c r="AO106" i="1" s="1"/>
  <c r="AO107" i="1" a="1"/>
  <c r="AO107" i="1" s="1"/>
  <c r="AO108" i="1" a="1"/>
  <c r="AO108" i="1" s="1"/>
  <c r="AO109" i="1" a="1"/>
  <c r="AO109" i="1" s="1"/>
  <c r="AO110" i="1" a="1"/>
  <c r="AO110" i="1" s="1"/>
  <c r="AO111" i="1" a="1"/>
  <c r="AO111" i="1" s="1"/>
  <c r="AO112" i="1" a="1"/>
  <c r="AO112" i="1" s="1"/>
  <c r="AO113" i="1" a="1"/>
  <c r="AO113" i="1" s="1"/>
  <c r="AO114" i="1" a="1"/>
  <c r="AO114" i="1" s="1"/>
  <c r="AO115" i="1" a="1"/>
  <c r="AO115" i="1" s="1"/>
  <c r="AO116" i="1" a="1"/>
  <c r="AO116" i="1" s="1"/>
  <c r="AO117" i="1" a="1"/>
  <c r="AO117" i="1" s="1"/>
  <c r="AO118" i="1" a="1"/>
  <c r="AO118" i="1"/>
  <c r="AO119" i="1" a="1"/>
  <c r="AO119" i="1"/>
  <c r="AO120" i="1" a="1"/>
  <c r="AO120" i="1" s="1"/>
  <c r="AO121" i="1" a="1"/>
  <c r="AO121" i="1" s="1"/>
  <c r="AO122" i="1" a="1"/>
  <c r="AO122" i="1" s="1"/>
  <c r="AO123" i="1" a="1"/>
  <c r="AO123" i="1" s="1"/>
  <c r="AO124" i="1" a="1"/>
  <c r="AO124" i="1" s="1"/>
  <c r="AO125" i="1" a="1"/>
  <c r="AO125" i="1" s="1"/>
  <c r="AO126" i="1" a="1"/>
  <c r="AO126" i="1" s="1"/>
  <c r="AO127" i="1" a="1"/>
  <c r="AO127" i="1" s="1"/>
  <c r="AO128" i="1" a="1"/>
  <c r="AO128" i="1"/>
  <c r="AO129" i="1" a="1"/>
  <c r="AO129" i="1" s="1"/>
  <c r="AO130" i="1" a="1"/>
  <c r="AO130" i="1" s="1"/>
  <c r="AO131" i="1" a="1"/>
  <c r="AO131" i="1" s="1"/>
  <c r="AO132" i="1" a="1"/>
  <c r="AO132" i="1" s="1"/>
  <c r="AO133" i="1" a="1"/>
  <c r="AO133" i="1" s="1"/>
  <c r="AO134" i="1" a="1"/>
  <c r="AO134" i="1" s="1"/>
  <c r="AO135" i="1" a="1"/>
  <c r="AO135" i="1" s="1"/>
  <c r="AO136" i="1" a="1"/>
  <c r="AO136" i="1" s="1"/>
  <c r="AO137" i="1" a="1"/>
  <c r="AO137" i="1" s="1"/>
  <c r="AO138" i="1" a="1"/>
  <c r="AO138" i="1" s="1"/>
  <c r="AO139" i="1" a="1"/>
  <c r="AO139" i="1"/>
  <c r="AO140" i="1" a="1"/>
  <c r="AO140" i="1" s="1"/>
  <c r="AO141" i="1" a="1"/>
  <c r="AO141" i="1" s="1"/>
  <c r="AO142" i="1" a="1"/>
  <c r="AO142" i="1" s="1"/>
  <c r="AO143" i="1" a="1"/>
  <c r="AO143" i="1" s="1"/>
  <c r="AO144" i="1" a="1"/>
  <c r="AO144" i="1" s="1"/>
  <c r="AO145" i="1" a="1"/>
  <c r="AO145" i="1" s="1"/>
  <c r="AO146" i="1" a="1"/>
  <c r="AO146" i="1" s="1"/>
  <c r="AO147" i="1" a="1"/>
  <c r="AO147" i="1" s="1"/>
  <c r="AO148" i="1" a="1"/>
  <c r="AO148" i="1" s="1"/>
  <c r="AO149" i="1" a="1"/>
  <c r="AO149" i="1" s="1"/>
  <c r="AO150" i="1" a="1"/>
  <c r="AO150" i="1"/>
  <c r="AO151" i="1" a="1"/>
  <c r="AO151" i="1" s="1"/>
  <c r="AO152" i="1" a="1"/>
  <c r="AO152" i="1" s="1"/>
  <c r="AO153" i="1" a="1"/>
  <c r="AO153" i="1" s="1"/>
  <c r="AO154" i="1" a="1"/>
  <c r="AO154" i="1" s="1"/>
  <c r="AO155" i="1" a="1"/>
  <c r="AO155" i="1" s="1"/>
  <c r="AO156" i="1" a="1"/>
  <c r="AO156" i="1" s="1"/>
  <c r="AO157" i="1" a="1"/>
  <c r="AO157" i="1" s="1"/>
  <c r="AO158" i="1" a="1"/>
  <c r="AO158" i="1"/>
  <c r="AO159" i="1" a="1"/>
  <c r="AO159" i="1" s="1"/>
  <c r="AO160" i="1" a="1"/>
  <c r="AO160" i="1" s="1"/>
  <c r="AO161" i="1" a="1"/>
  <c r="AO161" i="1" s="1"/>
  <c r="AO162" i="1" a="1"/>
  <c r="AO162" i="1" s="1"/>
  <c r="AO163" i="1" a="1"/>
  <c r="AO163" i="1" s="1"/>
  <c r="AO164" i="1" a="1"/>
  <c r="AO164" i="1" s="1"/>
  <c r="AO165" i="1" a="1"/>
  <c r="AO165" i="1" s="1"/>
  <c r="AO166" i="1" a="1"/>
  <c r="AO166" i="1" s="1"/>
  <c r="AO167" i="1" a="1"/>
  <c r="AO167" i="1" s="1"/>
  <c r="AO168" i="1" a="1"/>
  <c r="AO168" i="1" s="1"/>
  <c r="AO169" i="1" a="1"/>
  <c r="AO169" i="1"/>
  <c r="AO170" i="1" a="1"/>
  <c r="AO170" i="1" s="1"/>
  <c r="AO171" i="1" a="1"/>
  <c r="AO171" i="1" s="1"/>
  <c r="AO172" i="1" a="1"/>
  <c r="AO172" i="1" s="1"/>
  <c r="AO173" i="1" a="1"/>
  <c r="AO173" i="1" s="1"/>
  <c r="AO174" i="1" a="1"/>
  <c r="AO174" i="1" s="1"/>
  <c r="AO175" i="1" a="1"/>
  <c r="AO175" i="1" s="1"/>
  <c r="AO176" i="1" a="1"/>
  <c r="AO176" i="1" s="1"/>
  <c r="AO177" i="1" a="1"/>
  <c r="AO177" i="1" s="1"/>
  <c r="AO178" i="1" a="1"/>
  <c r="AO178" i="1"/>
  <c r="AO179" i="1" a="1"/>
  <c r="AO179" i="1" s="1"/>
  <c r="AO180" i="1" a="1"/>
  <c r="AO180" i="1" s="1"/>
  <c r="AO181" i="1" a="1"/>
  <c r="AO181" i="1" s="1"/>
  <c r="AO182" i="1" a="1"/>
  <c r="AO182" i="1" s="1"/>
  <c r="AO183" i="1" a="1"/>
  <c r="AO183" i="1" s="1"/>
  <c r="AO184" i="1" a="1"/>
  <c r="AO184" i="1"/>
  <c r="AO185" i="1" a="1"/>
  <c r="AO185" i="1" s="1"/>
  <c r="AO186" i="1" a="1"/>
  <c r="AO186" i="1" s="1"/>
  <c r="AO187" i="1" a="1"/>
  <c r="AO187" i="1" s="1"/>
  <c r="AO188" i="1" a="1"/>
  <c r="AO188" i="1" s="1"/>
  <c r="AO189" i="1" a="1"/>
  <c r="AO189" i="1" s="1"/>
  <c r="AO190" i="1" a="1"/>
  <c r="AO190" i="1" s="1"/>
  <c r="AO191" i="1" a="1"/>
  <c r="AO191" i="1"/>
  <c r="AO192" i="1" a="1"/>
  <c r="AO192" i="1" s="1"/>
  <c r="AO193" i="1" a="1"/>
  <c r="AO193" i="1"/>
  <c r="AO194" i="1" a="1"/>
  <c r="AO194" i="1" s="1"/>
  <c r="AO195" i="1" a="1"/>
  <c r="AO195" i="1" s="1"/>
  <c r="AO196" i="1" a="1"/>
  <c r="AO196" i="1"/>
  <c r="AO197" i="1" a="1"/>
  <c r="AO197" i="1" s="1"/>
  <c r="AO198" i="1" a="1"/>
  <c r="AO198" i="1" s="1"/>
  <c r="AO199" i="1" a="1"/>
  <c r="AO199" i="1" s="1"/>
  <c r="AO200" i="1" a="1"/>
  <c r="AO200" i="1"/>
  <c r="AO201" i="1" a="1"/>
  <c r="AO201" i="1" s="1"/>
  <c r="AO202" i="1" a="1"/>
  <c r="AO202" i="1"/>
  <c r="AO203" i="1" a="1"/>
  <c r="AO203" i="1" s="1"/>
  <c r="AO204" i="1" a="1"/>
  <c r="AO204" i="1" s="1"/>
  <c r="AO205" i="1" a="1"/>
  <c r="AO205" i="1" s="1"/>
  <c r="AO206" i="1" a="1"/>
  <c r="AO206" i="1" s="1"/>
  <c r="AO207" i="1" a="1"/>
  <c r="AO207" i="1" s="1"/>
  <c r="AO208" i="1" a="1"/>
  <c r="AO208" i="1" s="1"/>
  <c r="AO209" i="1" a="1"/>
  <c r="AO209" i="1" s="1"/>
  <c r="AO210" i="1" a="1"/>
  <c r="AO210" i="1"/>
  <c r="AO211" i="1" a="1"/>
  <c r="AO211" i="1" s="1"/>
  <c r="AO212" i="1" a="1"/>
  <c r="AO212" i="1" s="1"/>
  <c r="AO213" i="1" a="1"/>
  <c r="AO213" i="1" s="1"/>
  <c r="AO214" i="1" a="1"/>
  <c r="AO214" i="1" s="1"/>
  <c r="AO215" i="1" a="1"/>
  <c r="AO215" i="1" s="1"/>
  <c r="AO216" i="1" a="1"/>
  <c r="AO216" i="1"/>
  <c r="AO217" i="1" a="1"/>
  <c r="AO217" i="1" s="1"/>
  <c r="AO218" i="1" a="1"/>
  <c r="AO218" i="1" s="1"/>
  <c r="AO219" i="1" a="1"/>
  <c r="AO219" i="1" s="1"/>
  <c r="AO220" i="1" a="1"/>
  <c r="AO220" i="1" s="1"/>
  <c r="AO221" i="1" a="1"/>
  <c r="AO221" i="1" s="1"/>
  <c r="AO222" i="1" a="1"/>
  <c r="AO222" i="1" s="1"/>
  <c r="AO223" i="1" a="1"/>
  <c r="AO223" i="1" s="1"/>
  <c r="AO224" i="1" a="1"/>
  <c r="AO224" i="1" s="1"/>
  <c r="AO225" i="1" a="1"/>
  <c r="AO225" i="1" s="1"/>
  <c r="AO226" i="1" a="1"/>
  <c r="AO226" i="1" s="1"/>
  <c r="AO227" i="1" a="1"/>
  <c r="AO227" i="1" s="1"/>
  <c r="AO228" i="1" a="1"/>
  <c r="AO228" i="1"/>
  <c r="AO229" i="1" a="1"/>
  <c r="AO229" i="1" s="1"/>
  <c r="AO230" i="1" a="1"/>
  <c r="AO230" i="1" s="1"/>
  <c r="AO231" i="1" a="1"/>
  <c r="AO231" i="1" s="1"/>
  <c r="AO232" i="1" a="1"/>
  <c r="AO232" i="1" s="1"/>
  <c r="AO233" i="1" a="1"/>
  <c r="AO233" i="1" s="1"/>
  <c r="AO234" i="1" a="1"/>
  <c r="AO234" i="1" s="1"/>
  <c r="AO235" i="1" a="1"/>
  <c r="AO235" i="1" s="1"/>
  <c r="AO236" i="1" a="1"/>
  <c r="AO236" i="1" s="1"/>
  <c r="AO237" i="1" a="1"/>
  <c r="AO237" i="1" s="1"/>
  <c r="AO238" i="1" a="1"/>
  <c r="AO238" i="1" s="1"/>
  <c r="AO239" i="1" a="1"/>
  <c r="AO239" i="1"/>
  <c r="AO240" i="1" a="1"/>
  <c r="AO240" i="1"/>
  <c r="AO241" i="1" a="1"/>
  <c r="AO241" i="1" s="1"/>
  <c r="AO242" i="1" a="1"/>
  <c r="AO242" i="1" s="1"/>
  <c r="AO243" i="1" a="1"/>
  <c r="AO243" i="1" s="1"/>
  <c r="AO244" i="1" a="1"/>
  <c r="AO244" i="1"/>
  <c r="AO245" i="1" a="1"/>
  <c r="AO245" i="1" s="1"/>
  <c r="AO246" i="1" a="1"/>
  <c r="AO246" i="1"/>
  <c r="AO247" i="1" a="1"/>
  <c r="AO247" i="1" s="1"/>
  <c r="AO248" i="1" a="1"/>
  <c r="AO248" i="1" s="1"/>
  <c r="AO249" i="1" a="1"/>
  <c r="AO249" i="1" s="1"/>
  <c r="AO250" i="1" a="1"/>
  <c r="AO250" i="1" s="1"/>
  <c r="AO251" i="1" a="1"/>
  <c r="AO251" i="1" s="1"/>
  <c r="AO252" i="1" a="1"/>
  <c r="AO252" i="1" s="1"/>
  <c r="AO253" i="1" a="1"/>
  <c r="AO253" i="1" s="1"/>
  <c r="AO254" i="1" a="1"/>
  <c r="AO254" i="1" s="1"/>
  <c r="AO255" i="1" a="1"/>
  <c r="AO255" i="1" s="1"/>
  <c r="AO256" i="1" a="1"/>
  <c r="AO256" i="1" s="1"/>
  <c r="AO257" i="1" a="1"/>
  <c r="AO257" i="1" s="1"/>
  <c r="AO258" i="1" a="1"/>
  <c r="AO258" i="1" s="1"/>
  <c r="AO259" i="1" a="1"/>
  <c r="AO259" i="1" s="1"/>
  <c r="AO260" i="1" a="1"/>
  <c r="AO260" i="1" s="1"/>
  <c r="AO261" i="1" a="1"/>
  <c r="AO261" i="1" s="1"/>
  <c r="AO262" i="1" a="1"/>
  <c r="AO262" i="1" s="1"/>
  <c r="AO263" i="1" a="1"/>
  <c r="AO263" i="1" s="1"/>
  <c r="AO264" i="1" a="1"/>
  <c r="AO264" i="1" s="1"/>
  <c r="AO265" i="1" a="1"/>
  <c r="AO265" i="1" s="1"/>
  <c r="AO266" i="1" a="1"/>
  <c r="AO266" i="1"/>
  <c r="AO267" i="1" a="1"/>
  <c r="AO267" i="1" s="1"/>
  <c r="AO268" i="1" a="1"/>
  <c r="AO268" i="1" s="1"/>
  <c r="AO269" i="1" a="1"/>
  <c r="AO269" i="1" s="1"/>
  <c r="AO270" i="1" a="1"/>
  <c r="AO270" i="1" s="1"/>
  <c r="AO271" i="1" a="1"/>
  <c r="AO271" i="1" s="1"/>
  <c r="AO272" i="1" a="1"/>
  <c r="AO272" i="1" s="1"/>
  <c r="AO273" i="1" a="1"/>
  <c r="AO273" i="1" s="1"/>
  <c r="AO274" i="1" a="1"/>
  <c r="AO274" i="1" s="1"/>
  <c r="AO275" i="1" a="1"/>
  <c r="AO275" i="1" s="1"/>
  <c r="AO276" i="1" a="1"/>
  <c r="AO276" i="1"/>
  <c r="AO277" i="1" a="1"/>
  <c r="AO277" i="1"/>
  <c r="AO278" i="1" a="1"/>
  <c r="AO278" i="1" s="1"/>
  <c r="AO279" i="1" a="1"/>
  <c r="AO279" i="1" s="1"/>
  <c r="AO280" i="1" a="1"/>
  <c r="AO280" i="1" s="1"/>
  <c r="AO281" i="1" a="1"/>
  <c r="AO281" i="1" s="1"/>
  <c r="AO282" i="1" a="1"/>
  <c r="AO282" i="1" s="1"/>
  <c r="AO283" i="1" a="1"/>
  <c r="AO283" i="1" s="1"/>
  <c r="AO284" i="1" a="1"/>
  <c r="AO284" i="1" s="1"/>
  <c r="AO285" i="1" a="1"/>
  <c r="AO285" i="1" s="1"/>
  <c r="AO286" i="1" a="1"/>
  <c r="AO286" i="1" s="1"/>
  <c r="AO287" i="1" a="1"/>
  <c r="AO287" i="1" s="1"/>
  <c r="AO288" i="1" a="1"/>
  <c r="AO288" i="1" s="1"/>
  <c r="AO289" i="1" a="1"/>
  <c r="AO289" i="1" s="1"/>
  <c r="AO290" i="1" a="1"/>
  <c r="AO290" i="1"/>
  <c r="AO291" i="1" a="1"/>
  <c r="AO291" i="1" s="1"/>
  <c r="AO292" i="1" a="1"/>
  <c r="AO292" i="1" s="1"/>
  <c r="AO293" i="1" a="1"/>
  <c r="AO293" i="1" s="1"/>
  <c r="AO294" i="1" a="1"/>
  <c r="AO294" i="1" s="1"/>
  <c r="AO295" i="1" a="1"/>
  <c r="AO295" i="1" s="1"/>
  <c r="AO296" i="1" a="1"/>
  <c r="AO296" i="1" s="1"/>
  <c r="AO297" i="1" a="1"/>
  <c r="AO297" i="1" s="1"/>
  <c r="AO298" i="1" a="1"/>
  <c r="AO298" i="1" s="1"/>
  <c r="AO299" i="1" a="1"/>
  <c r="AO299" i="1"/>
  <c r="AO300" i="1" a="1"/>
  <c r="AO300" i="1" s="1"/>
  <c r="AO301" i="1" a="1"/>
  <c r="AO301" i="1" s="1"/>
  <c r="AO302" i="1" a="1"/>
  <c r="AO302" i="1" s="1"/>
  <c r="AO303" i="1" a="1"/>
  <c r="AO303" i="1" s="1"/>
  <c r="AO304" i="1" a="1"/>
  <c r="AO304" i="1" s="1"/>
  <c r="AO305" i="1" a="1"/>
  <c r="AO305" i="1" s="1"/>
  <c r="AO306" i="1" a="1"/>
  <c r="AO306" i="1" s="1"/>
  <c r="AO307" i="1" a="1"/>
  <c r="AO307" i="1" s="1"/>
  <c r="AO308" i="1" a="1"/>
  <c r="AO308" i="1" s="1"/>
  <c r="AO309" i="1" a="1"/>
  <c r="AO309" i="1" s="1"/>
  <c r="AO310" i="1" a="1"/>
  <c r="AO310" i="1" s="1"/>
  <c r="AO311" i="1" a="1"/>
  <c r="AO311" i="1"/>
  <c r="AO312" i="1" a="1"/>
  <c r="AO312" i="1" s="1"/>
  <c r="AO313" i="1" a="1"/>
  <c r="AO313" i="1" s="1"/>
  <c r="AO314" i="1" a="1"/>
  <c r="AO314" i="1" s="1"/>
  <c r="AO315" i="1" a="1"/>
  <c r="AO315" i="1" s="1"/>
  <c r="AO316" i="1" a="1"/>
  <c r="AO316" i="1" s="1"/>
  <c r="AO317" i="1" a="1"/>
  <c r="AO317" i="1" s="1"/>
  <c r="AO318" i="1" a="1"/>
  <c r="AO318" i="1" s="1"/>
  <c r="AO319" i="1" a="1"/>
  <c r="AO319" i="1" s="1"/>
  <c r="AO320" i="1" a="1"/>
  <c r="AO320" i="1" s="1"/>
  <c r="AO321" i="1" a="1"/>
  <c r="AO321" i="1" s="1"/>
  <c r="AO322" i="1" a="1"/>
  <c r="AO322" i="1" s="1"/>
  <c r="AO323" i="1" a="1"/>
  <c r="AO323" i="1" s="1"/>
  <c r="AO324" i="1" a="1"/>
  <c r="AO324" i="1" s="1"/>
  <c r="AO325" i="1" a="1"/>
  <c r="AO325" i="1" s="1"/>
  <c r="AO326" i="1" a="1"/>
  <c r="AO326" i="1"/>
  <c r="AO327" i="1" a="1"/>
  <c r="AO327" i="1" s="1"/>
  <c r="AO328" i="1" a="1"/>
  <c r="AO328" i="1"/>
  <c r="AO329" i="1" a="1"/>
  <c r="AO329" i="1" s="1"/>
  <c r="AO330" i="1" a="1"/>
  <c r="AO330" i="1" s="1"/>
  <c r="AO331" i="1" a="1"/>
  <c r="AO331" i="1"/>
  <c r="AO332" i="1" a="1"/>
  <c r="AO332" i="1" s="1"/>
  <c r="AO333" i="1" a="1"/>
  <c r="AO333" i="1" s="1"/>
  <c r="AO334" i="1" a="1"/>
  <c r="AO334" i="1" s="1"/>
  <c r="AO335" i="1" a="1"/>
  <c r="AO335" i="1" s="1"/>
  <c r="AO336" i="1" a="1"/>
  <c r="AO336" i="1" s="1"/>
  <c r="AO337" i="1" a="1"/>
  <c r="AO337" i="1"/>
  <c r="AO338" i="1" a="1"/>
  <c r="AO338" i="1" s="1"/>
  <c r="AO339" i="1" a="1"/>
  <c r="AO339" i="1" s="1"/>
  <c r="AO340" i="1" a="1"/>
  <c r="AO340" i="1" s="1"/>
  <c r="AO341" i="1" a="1"/>
  <c r="AO341" i="1" s="1"/>
  <c r="AO342" i="1" a="1"/>
  <c r="AO342" i="1" s="1"/>
  <c r="AO343" i="1" a="1"/>
  <c r="AO343" i="1" s="1"/>
  <c r="AO344" i="1" a="1"/>
  <c r="AO344" i="1"/>
  <c r="AO345" i="1" a="1"/>
  <c r="AO345" i="1" s="1"/>
  <c r="AO346" i="1" a="1"/>
  <c r="AO346" i="1" s="1"/>
  <c r="AO347" i="1" a="1"/>
  <c r="AO347" i="1"/>
  <c r="AO348" i="1" a="1"/>
  <c r="AO348" i="1" s="1"/>
  <c r="AO349" i="1" a="1"/>
  <c r="AO349" i="1" s="1"/>
  <c r="AO350" i="1" a="1"/>
  <c r="AO350" i="1" s="1"/>
  <c r="AO351" i="1" a="1"/>
  <c r="AO351" i="1" s="1"/>
  <c r="AO352" i="1" a="1"/>
  <c r="AO352" i="1" s="1"/>
  <c r="AO353" i="1" a="1"/>
  <c r="AO353" i="1" s="1"/>
  <c r="AO354" i="1" a="1"/>
  <c r="AO354" i="1" s="1"/>
  <c r="AO355" i="1" a="1"/>
  <c r="AO355" i="1" s="1"/>
  <c r="AO356" i="1" a="1"/>
  <c r="AO356" i="1" s="1"/>
  <c r="AO357" i="1" a="1"/>
  <c r="AO357" i="1" s="1"/>
  <c r="AO358" i="1" a="1"/>
  <c r="AO358" i="1" s="1"/>
  <c r="AO359" i="1" a="1"/>
  <c r="AO359" i="1" s="1"/>
  <c r="AO360" i="1" a="1"/>
  <c r="AO360" i="1" s="1"/>
  <c r="AO361" i="1" a="1"/>
  <c r="AO361" i="1" s="1"/>
  <c r="AO362" i="1" a="1"/>
  <c r="AO362" i="1" s="1"/>
  <c r="AO363" i="1" a="1"/>
  <c r="AO363" i="1" s="1"/>
  <c r="AO364" i="1" a="1"/>
  <c r="AO364" i="1" s="1"/>
  <c r="AO365" i="1" a="1"/>
  <c r="AO365" i="1"/>
  <c r="AO366" i="1" a="1"/>
  <c r="AO366" i="1" s="1"/>
  <c r="AO367" i="1" a="1"/>
  <c r="AO367" i="1" s="1"/>
  <c r="AO368" i="1" a="1"/>
  <c r="AO368" i="1" s="1"/>
  <c r="AO369" i="1" a="1"/>
  <c r="AO369" i="1" s="1"/>
  <c r="AO370" i="1" a="1"/>
  <c r="AO370" i="1"/>
  <c r="AO371" i="1" a="1"/>
  <c r="AO371" i="1"/>
  <c r="AO372" i="1" a="1"/>
  <c r="AO372" i="1" s="1"/>
  <c r="AO373" i="1" a="1"/>
  <c r="AO373" i="1"/>
  <c r="AO374" i="1" a="1"/>
  <c r="AO374" i="1" s="1"/>
  <c r="AO375" i="1" a="1"/>
  <c r="AO375" i="1" s="1"/>
  <c r="AO376" i="1" a="1"/>
  <c r="AO376" i="1" s="1"/>
  <c r="AO377" i="1" a="1"/>
  <c r="AO377" i="1"/>
  <c r="AO378" i="1" a="1"/>
  <c r="AO378" i="1"/>
  <c r="AO379" i="1" a="1"/>
  <c r="AO379" i="1"/>
  <c r="AO380" i="1" a="1"/>
  <c r="AO380" i="1" s="1"/>
  <c r="AO381" i="1" a="1"/>
  <c r="AO381" i="1" s="1"/>
  <c r="AO382" i="1" a="1"/>
  <c r="AO382" i="1" s="1"/>
  <c r="AO383" i="1" a="1"/>
  <c r="AO383" i="1" s="1"/>
  <c r="AO384" i="1" a="1"/>
  <c r="AO384" i="1" s="1"/>
  <c r="AO385" i="1" a="1"/>
  <c r="AO385" i="1" s="1"/>
  <c r="AO386" i="1" a="1"/>
  <c r="AO386" i="1"/>
  <c r="AO387" i="1" a="1"/>
  <c r="AO387" i="1" s="1"/>
  <c r="AO388" i="1" a="1"/>
  <c r="AO388" i="1" s="1"/>
  <c r="AO389" i="1" a="1"/>
  <c r="AO389" i="1" s="1"/>
  <c r="AO390" i="1" a="1"/>
  <c r="AO390" i="1" s="1"/>
  <c r="AO391" i="1" a="1"/>
  <c r="AO391" i="1" s="1"/>
  <c r="AO392" i="1" a="1"/>
  <c r="AO392" i="1" s="1"/>
  <c r="AO393" i="1" a="1"/>
  <c r="AO393" i="1" s="1"/>
  <c r="AO394" i="1" a="1"/>
  <c r="AO394" i="1" s="1"/>
  <c r="AO395" i="1" a="1"/>
  <c r="AO395" i="1" s="1"/>
  <c r="AO396" i="1" a="1"/>
  <c r="AO396" i="1" s="1"/>
  <c r="AO397" i="1" a="1"/>
  <c r="AO397" i="1" s="1"/>
  <c r="AO398" i="1" a="1"/>
  <c r="AO398" i="1" s="1"/>
  <c r="AO399" i="1" a="1"/>
  <c r="AO399" i="1" s="1"/>
  <c r="AO400" i="1" a="1"/>
  <c r="AO400" i="1"/>
  <c r="AO401" i="1" a="1"/>
  <c r="AO401" i="1" s="1"/>
  <c r="AO402" i="1" a="1"/>
  <c r="AO402" i="1" s="1"/>
  <c r="AO403" i="1" a="1"/>
  <c r="AO403" i="1" s="1"/>
  <c r="AO404" i="1" a="1"/>
  <c r="AO404" i="1" s="1"/>
  <c r="AO405" i="1" a="1"/>
  <c r="AO405" i="1" s="1"/>
  <c r="AO406" i="1" a="1"/>
  <c r="AO406" i="1" s="1"/>
  <c r="AO407" i="1" a="1"/>
  <c r="AO407" i="1" s="1"/>
  <c r="AO408" i="1" a="1"/>
  <c r="AO408" i="1"/>
  <c r="AO409" i="1" a="1"/>
  <c r="AO409" i="1" s="1"/>
  <c r="AO410" i="1" a="1"/>
  <c r="AO410" i="1"/>
  <c r="AO411" i="1" a="1"/>
  <c r="AO411" i="1" s="1"/>
  <c r="AO412" i="1" a="1"/>
  <c r="AO412" i="1" s="1"/>
  <c r="AO413" i="1" a="1"/>
  <c r="AO413" i="1" s="1"/>
  <c r="AO414" i="1" a="1"/>
  <c r="AO414" i="1"/>
  <c r="AO415" i="1" a="1"/>
  <c r="AO415" i="1" s="1"/>
  <c r="AO416" i="1" a="1"/>
  <c r="AO416" i="1" s="1"/>
  <c r="AO417" i="1" a="1"/>
  <c r="AO417" i="1" s="1"/>
  <c r="AO418" i="1" a="1"/>
  <c r="AO418" i="1" s="1"/>
  <c r="AO419" i="1" a="1"/>
  <c r="AO419" i="1" s="1"/>
  <c r="AO420" i="1" a="1"/>
  <c r="AO420" i="1" s="1"/>
  <c r="AO421" i="1" a="1"/>
  <c r="AO421" i="1" s="1"/>
  <c r="AO422" i="1" a="1"/>
  <c r="AO422" i="1" s="1"/>
  <c r="AO423" i="1" a="1"/>
  <c r="AO423" i="1" s="1"/>
  <c r="AO424" i="1" a="1"/>
  <c r="AO424" i="1" s="1"/>
  <c r="AO425" i="1" a="1"/>
  <c r="AO425" i="1" s="1"/>
  <c r="AO426" i="1" a="1"/>
  <c r="AO426" i="1"/>
  <c r="AO427" i="1" a="1"/>
  <c r="AO427" i="1" s="1"/>
  <c r="AO428" i="1" a="1"/>
  <c r="AO428" i="1" s="1"/>
  <c r="AO429" i="1" a="1"/>
  <c r="AO429" i="1" s="1"/>
  <c r="AO430" i="1" a="1"/>
  <c r="AO430" i="1" s="1"/>
  <c r="AO431" i="1" a="1"/>
  <c r="AO431" i="1" s="1"/>
  <c r="AO432" i="1" a="1"/>
  <c r="AO432" i="1" s="1"/>
  <c r="AO433" i="1" a="1"/>
  <c r="AO433" i="1" s="1"/>
  <c r="AO434" i="1" a="1"/>
  <c r="AO434" i="1"/>
  <c r="AO435" i="1" a="1"/>
  <c r="AO435" i="1" s="1"/>
  <c r="AO436" i="1" a="1"/>
  <c r="AO436" i="1" s="1"/>
  <c r="AO437" i="1" a="1"/>
  <c r="AO437" i="1" s="1"/>
  <c r="AO438" i="1" a="1"/>
  <c r="AO438" i="1" s="1"/>
  <c r="AO439" i="1" a="1"/>
  <c r="AO439" i="1" s="1"/>
  <c r="AO440" i="1" a="1"/>
  <c r="AO440" i="1"/>
  <c r="AO441" i="1" a="1"/>
  <c r="AO441" i="1" s="1"/>
  <c r="AO442" i="1" a="1"/>
  <c r="AO442" i="1" s="1"/>
  <c r="AO443" i="1" a="1"/>
  <c r="AO443" i="1" s="1"/>
  <c r="AO444" i="1" a="1"/>
  <c r="AO444" i="1"/>
  <c r="AO445" i="1" a="1"/>
  <c r="AO445" i="1" s="1"/>
  <c r="AO446" i="1" a="1"/>
  <c r="AO446" i="1" s="1"/>
  <c r="AO447" i="1" a="1"/>
  <c r="AO447" i="1" s="1"/>
  <c r="AO448" i="1" a="1"/>
  <c r="AO448" i="1" s="1"/>
  <c r="AO449" i="1" a="1"/>
  <c r="AO449" i="1" s="1"/>
  <c r="AO450" i="1" a="1"/>
  <c r="AO450" i="1" s="1"/>
  <c r="AO451" i="1" a="1"/>
  <c r="AO451" i="1" s="1"/>
  <c r="AO452" i="1" a="1"/>
  <c r="AO452" i="1"/>
  <c r="AO453" i="1" a="1"/>
  <c r="AO453" i="1" s="1"/>
  <c r="AO454" i="1" a="1"/>
  <c r="AO454" i="1" s="1"/>
  <c r="AO455" i="1" a="1"/>
  <c r="AO455" i="1" s="1"/>
  <c r="AO456" i="1" a="1"/>
  <c r="AO456" i="1" s="1"/>
  <c r="AO457" i="1" a="1"/>
  <c r="AO457" i="1" s="1"/>
  <c r="AO458" i="1" a="1"/>
  <c r="AO458" i="1" s="1"/>
  <c r="AO459" i="1" a="1"/>
  <c r="AO459" i="1" s="1"/>
  <c r="AO460" i="1" a="1"/>
  <c r="AO460" i="1" s="1"/>
  <c r="AO461" i="1" a="1"/>
  <c r="AO461" i="1" s="1"/>
  <c r="AO462" i="1" a="1"/>
  <c r="AO462" i="1" s="1"/>
  <c r="AO463" i="1" a="1"/>
  <c r="AO463" i="1"/>
  <c r="AO464" i="1" a="1"/>
  <c r="AO464" i="1" s="1"/>
  <c r="AO465" i="1" a="1"/>
  <c r="AO465" i="1" s="1"/>
  <c r="AO466" i="1" a="1"/>
  <c r="AO466" i="1" s="1"/>
  <c r="AO467" i="1" a="1"/>
  <c r="AO467" i="1" s="1"/>
  <c r="AO468" i="1" a="1"/>
  <c r="AO468" i="1"/>
  <c r="AO469" i="1" a="1"/>
  <c r="AO469" i="1" s="1"/>
  <c r="AO470" i="1" a="1"/>
  <c r="AO470" i="1" s="1"/>
  <c r="AO471" i="1" a="1"/>
  <c r="AO471" i="1" s="1"/>
  <c r="AO472" i="1" a="1"/>
  <c r="AO472" i="1" s="1"/>
  <c r="AO473" i="1" a="1"/>
  <c r="AO473" i="1" s="1"/>
  <c r="AO474" i="1" a="1"/>
  <c r="AO474" i="1" s="1"/>
  <c r="AO475" i="1" a="1"/>
  <c r="AO475" i="1" s="1"/>
  <c r="AO476" i="1" a="1"/>
  <c r="AO476" i="1" s="1"/>
  <c r="AO477" i="1" a="1"/>
  <c r="AO477" i="1" s="1"/>
  <c r="AO478" i="1" a="1"/>
  <c r="AO478" i="1"/>
  <c r="AO479" i="1" a="1"/>
  <c r="AO479" i="1" s="1"/>
  <c r="AO480" i="1" a="1"/>
  <c r="AO480" i="1" s="1"/>
  <c r="AO481" i="1" a="1"/>
  <c r="AO481" i="1"/>
  <c r="AO482" i="1" a="1"/>
  <c r="AO482" i="1" s="1"/>
  <c r="AO483" i="1" a="1"/>
  <c r="AO483" i="1" s="1"/>
  <c r="AO484" i="1" a="1"/>
  <c r="AO484" i="1" s="1"/>
  <c r="AO485" i="1" a="1"/>
  <c r="AO485" i="1" s="1"/>
  <c r="AO486" i="1" a="1"/>
  <c r="AO486" i="1"/>
  <c r="AO487" i="1" a="1"/>
  <c r="AO487" i="1" s="1"/>
  <c r="AO488" i="1" a="1"/>
  <c r="AO488" i="1"/>
  <c r="AO489" i="1" a="1"/>
  <c r="AO489" i="1" s="1"/>
  <c r="AO490" i="1" a="1"/>
  <c r="AO490" i="1"/>
  <c r="AO491" i="1" a="1"/>
  <c r="AO491" i="1" s="1"/>
  <c r="AO492" i="1" a="1"/>
  <c r="AO492" i="1" s="1"/>
  <c r="AO493" i="1" a="1"/>
  <c r="AO493" i="1" s="1"/>
  <c r="AO494" i="1" a="1"/>
  <c r="AO494" i="1" s="1"/>
  <c r="AO495" i="1" a="1"/>
  <c r="AO495" i="1" s="1"/>
  <c r="AO496" i="1" a="1"/>
  <c r="AO496" i="1" s="1"/>
  <c r="AO497" i="1" a="1"/>
  <c r="AO497" i="1"/>
  <c r="AO498" i="1" a="1"/>
  <c r="AO498" i="1" s="1"/>
  <c r="AO499" i="1" a="1"/>
  <c r="AO499" i="1" s="1"/>
  <c r="AO500" i="1" a="1"/>
  <c r="AO500" i="1" s="1"/>
  <c r="AO501" i="1" a="1"/>
  <c r="AO501" i="1" s="1"/>
  <c r="AO502" i="1" a="1"/>
  <c r="AO502" i="1"/>
  <c r="AO503" i="1" a="1"/>
  <c r="AO503" i="1"/>
  <c r="AO504" i="1" a="1"/>
  <c r="AO504" i="1" s="1"/>
  <c r="AO505" i="1" a="1"/>
  <c r="AO505" i="1" s="1"/>
  <c r="AO506" i="1" a="1"/>
  <c r="AO506" i="1" s="1"/>
  <c r="AO507" i="1" a="1"/>
  <c r="AO507" i="1" s="1"/>
  <c r="AO508" i="1" a="1"/>
  <c r="AO508" i="1" s="1"/>
  <c r="AO509" i="1" a="1"/>
  <c r="AO509" i="1" s="1"/>
  <c r="AO510" i="1" a="1"/>
  <c r="AO510" i="1" s="1"/>
  <c r="AO511" i="1" a="1"/>
  <c r="AO511" i="1" s="1"/>
  <c r="AO512" i="1" a="1"/>
  <c r="AO512" i="1" s="1"/>
  <c r="AO513" i="1" a="1"/>
  <c r="AO513" i="1" s="1"/>
  <c r="AO514" i="1" a="1"/>
  <c r="AO514" i="1"/>
  <c r="AO515" i="1" a="1"/>
  <c r="AO515" i="1"/>
  <c r="AO516" i="1" a="1"/>
  <c r="AO516" i="1" s="1"/>
  <c r="AO517" i="1" a="1"/>
  <c r="AO517" i="1" s="1"/>
  <c r="AO518" i="1" a="1"/>
  <c r="AO518" i="1" s="1"/>
  <c r="AO519" i="1" a="1"/>
  <c r="AO519" i="1" s="1"/>
  <c r="AO520" i="1" a="1"/>
  <c r="AO520" i="1" s="1"/>
  <c r="AO521" i="1" a="1"/>
  <c r="AO521" i="1"/>
  <c r="AO522" i="1" a="1"/>
  <c r="AO522" i="1" s="1"/>
  <c r="AO523" i="1" a="1"/>
  <c r="AO523" i="1" s="1"/>
  <c r="AO524" i="1" a="1"/>
  <c r="AO524" i="1" s="1"/>
  <c r="AO525" i="1" a="1"/>
  <c r="AO525" i="1" s="1"/>
  <c r="AO526" i="1" a="1"/>
  <c r="AO526" i="1" s="1"/>
  <c r="AO527" i="1" a="1"/>
  <c r="AO527" i="1" s="1"/>
  <c r="AO528" i="1" a="1"/>
  <c r="AO528" i="1" s="1"/>
  <c r="AO529" i="1" a="1"/>
  <c r="AO529" i="1"/>
  <c r="AO530" i="1" a="1"/>
  <c r="AO530" i="1" s="1"/>
  <c r="AO531" i="1" a="1"/>
  <c r="AO531" i="1" s="1"/>
  <c r="AO532" i="1" a="1"/>
  <c r="AO532" i="1" s="1"/>
  <c r="AO533" i="1" a="1"/>
  <c r="AO533" i="1" s="1"/>
  <c r="AO534" i="1" a="1"/>
  <c r="AO534" i="1"/>
  <c r="AO535" i="1" a="1"/>
  <c r="AO535" i="1" s="1"/>
  <c r="AO536" i="1" a="1"/>
  <c r="AO536" i="1" s="1"/>
  <c r="AO537" i="1" a="1"/>
  <c r="AO537" i="1" s="1"/>
  <c r="AO538" i="1" a="1"/>
  <c r="AO538" i="1" s="1"/>
  <c r="AO539" i="1" a="1"/>
  <c r="AO539" i="1" s="1"/>
  <c r="AO540" i="1" a="1"/>
  <c r="AO540" i="1"/>
  <c r="AO541" i="1" a="1"/>
  <c r="AO541" i="1" s="1"/>
  <c r="AO542" i="1" a="1"/>
  <c r="AO542" i="1" s="1"/>
  <c r="AO543" i="1" a="1"/>
  <c r="AO543" i="1" s="1"/>
  <c r="AO544" i="1" a="1"/>
  <c r="AO544" i="1" s="1"/>
  <c r="AO545" i="1" a="1"/>
  <c r="AO545" i="1"/>
  <c r="AO546" i="1" a="1"/>
  <c r="AO546" i="1" s="1"/>
  <c r="AO547" i="1" a="1"/>
  <c r="AO547" i="1"/>
  <c r="AO548" i="1" a="1"/>
  <c r="AO548" i="1"/>
  <c r="AO549" i="1" a="1"/>
  <c r="AO549" i="1" s="1"/>
  <c r="AO550" i="1" a="1"/>
  <c r="AO550" i="1" s="1"/>
  <c r="AO551" i="1" a="1"/>
  <c r="AO551" i="1" s="1"/>
  <c r="AO552" i="1" a="1"/>
  <c r="AO552" i="1" s="1"/>
  <c r="AO553" i="1" a="1"/>
  <c r="AO553" i="1" s="1"/>
  <c r="AO554" i="1" a="1"/>
  <c r="AO554" i="1"/>
  <c r="AO555" i="1" a="1"/>
  <c r="AO555" i="1" s="1"/>
  <c r="AO556" i="1" a="1"/>
  <c r="AO556" i="1"/>
  <c r="AO557" i="1" a="1"/>
  <c r="AO557" i="1"/>
  <c r="AO558" i="1" a="1"/>
  <c r="AO558" i="1" s="1"/>
  <c r="AO559" i="1" a="1"/>
  <c r="AO559" i="1" s="1"/>
  <c r="AO560" i="1" a="1"/>
  <c r="AO560" i="1" s="1"/>
  <c r="AO561" i="1" a="1"/>
  <c r="AO561" i="1" s="1"/>
  <c r="AO562" i="1" a="1"/>
  <c r="AO562" i="1" s="1"/>
  <c r="AO563" i="1" a="1"/>
  <c r="AO563" i="1"/>
  <c r="AO564" i="1" a="1"/>
  <c r="AO564" i="1" s="1"/>
  <c r="AO565" i="1" a="1"/>
  <c r="AO565" i="1" s="1"/>
  <c r="AO566" i="1" a="1"/>
  <c r="AO566" i="1" s="1"/>
  <c r="AO567" i="1" a="1"/>
  <c r="AO567" i="1" s="1"/>
  <c r="AO568" i="1" a="1"/>
  <c r="AO568" i="1" s="1"/>
  <c r="AO569" i="1" a="1"/>
  <c r="AO569" i="1" s="1"/>
  <c r="AO570" i="1" a="1"/>
  <c r="AO570" i="1" s="1"/>
  <c r="AO571" i="1" a="1"/>
  <c r="AO571" i="1" s="1"/>
  <c r="AO572" i="1" a="1"/>
  <c r="AO572" i="1" s="1"/>
  <c r="AO573" i="1" a="1"/>
  <c r="AO573" i="1" s="1"/>
  <c r="AO574" i="1" a="1"/>
  <c r="AO574" i="1" s="1"/>
  <c r="AO575" i="1" a="1"/>
  <c r="AO575" i="1" s="1"/>
  <c r="AO576" i="1" a="1"/>
  <c r="AO576" i="1" s="1"/>
  <c r="AO577" i="1" a="1"/>
  <c r="AO577" i="1" s="1"/>
  <c r="AO578" i="1" a="1"/>
  <c r="AO578" i="1" s="1"/>
  <c r="AO579" i="1" a="1"/>
  <c r="AO579" i="1" s="1"/>
  <c r="AO580" i="1" a="1"/>
  <c r="AO580" i="1" s="1"/>
  <c r="AO581" i="1" a="1"/>
  <c r="AO581" i="1" s="1"/>
  <c r="AO582" i="1" a="1"/>
  <c r="AO582" i="1" s="1"/>
  <c r="AO583" i="1" a="1"/>
  <c r="AO583" i="1" s="1"/>
  <c r="AO584" i="1" a="1"/>
  <c r="AO584" i="1"/>
  <c r="AO585" i="1" a="1"/>
  <c r="AO585" i="1" s="1"/>
  <c r="AO586" i="1" a="1"/>
  <c r="AO586" i="1"/>
  <c r="AO587" i="1" a="1"/>
  <c r="AO587" i="1" s="1"/>
  <c r="AO588" i="1" a="1"/>
  <c r="AO588" i="1" s="1"/>
  <c r="AO589" i="1" a="1"/>
  <c r="AO589" i="1" s="1"/>
  <c r="AO590" i="1" a="1"/>
  <c r="AO590" i="1"/>
  <c r="AO591" i="1" a="1"/>
  <c r="AO591" i="1" s="1"/>
  <c r="AO592" i="1" a="1"/>
  <c r="AO592" i="1" s="1"/>
  <c r="AO593" i="1" a="1"/>
  <c r="AO593" i="1" s="1"/>
  <c r="AO594" i="1" a="1"/>
  <c r="AO594" i="1" s="1"/>
  <c r="AO595" i="1" a="1"/>
  <c r="AO595" i="1" s="1"/>
  <c r="AO596" i="1" a="1"/>
  <c r="AO596" i="1"/>
  <c r="AO597" i="1" a="1"/>
  <c r="AO597" i="1" s="1"/>
  <c r="AO598" i="1" a="1"/>
  <c r="AO598" i="1" s="1"/>
  <c r="AO599" i="1" a="1"/>
  <c r="AO599" i="1" s="1"/>
  <c r="AO600" i="1" a="1"/>
  <c r="AO600" i="1" s="1"/>
  <c r="AO601" i="1" a="1"/>
  <c r="AO601" i="1" s="1"/>
  <c r="AO602" i="1" a="1"/>
  <c r="AO602" i="1" s="1"/>
  <c r="AO603" i="1" a="1"/>
  <c r="AO603" i="1" s="1"/>
  <c r="AO604" i="1" a="1"/>
  <c r="AO604" i="1" s="1"/>
  <c r="AO605" i="1" a="1"/>
  <c r="AO605" i="1" s="1"/>
  <c r="AO606" i="1" a="1"/>
  <c r="AO606" i="1" s="1"/>
  <c r="AO607" i="1" a="1"/>
  <c r="AO607" i="1" s="1"/>
  <c r="AO608" i="1" a="1"/>
  <c r="AO608" i="1" s="1"/>
  <c r="AO609" i="1" a="1"/>
  <c r="AO609" i="1" s="1"/>
  <c r="AO610" i="1" a="1"/>
  <c r="AO610" i="1" s="1"/>
  <c r="AO611" i="1" a="1"/>
  <c r="AO611" i="1" s="1"/>
  <c r="AO612" i="1" a="1"/>
  <c r="AO612" i="1"/>
  <c r="AO613" i="1" a="1"/>
  <c r="AO613" i="1" s="1"/>
  <c r="AO614" i="1" a="1"/>
  <c r="AO614" i="1"/>
  <c r="AO615" i="1" a="1"/>
  <c r="AO615" i="1" s="1"/>
  <c r="AO616" i="1" a="1"/>
  <c r="AO616" i="1" s="1"/>
  <c r="AO617" i="1" a="1"/>
  <c r="AO617" i="1" s="1"/>
  <c r="AO618" i="1" a="1"/>
  <c r="AO618" i="1" s="1"/>
  <c r="AO619" i="1" a="1"/>
  <c r="AO619" i="1"/>
  <c r="AO620" i="1" a="1"/>
  <c r="AO620" i="1"/>
  <c r="AO621" i="1" a="1"/>
  <c r="AO621" i="1" s="1"/>
  <c r="AO622" i="1" a="1"/>
  <c r="AO622" i="1"/>
  <c r="AO623" i="1" a="1"/>
  <c r="AO623" i="1" s="1"/>
  <c r="AO624" i="1" a="1"/>
  <c r="AO624" i="1" s="1"/>
  <c r="AO625" i="1" a="1"/>
  <c r="AO625" i="1" s="1"/>
  <c r="AO626" i="1" a="1"/>
  <c r="AO626" i="1"/>
  <c r="AO627" i="1" a="1"/>
  <c r="AO627" i="1" s="1"/>
  <c r="AO628" i="1" a="1"/>
  <c r="AO628" i="1" s="1"/>
  <c r="AO629" i="1" a="1"/>
  <c r="AO629" i="1"/>
  <c r="AO630" i="1" a="1"/>
  <c r="AO630" i="1" s="1"/>
  <c r="AO631" i="1" a="1"/>
  <c r="AO631" i="1" s="1"/>
  <c r="AO632" i="1" a="1"/>
  <c r="AO632" i="1" s="1"/>
  <c r="AO633" i="1" a="1"/>
  <c r="AO633" i="1" s="1"/>
  <c r="AO634" i="1" a="1"/>
  <c r="AO634" i="1"/>
  <c r="AO635" i="1" a="1"/>
  <c r="AO635" i="1" s="1"/>
  <c r="AO636" i="1" a="1"/>
  <c r="AO636" i="1" s="1"/>
  <c r="AO637" i="1" a="1"/>
  <c r="AO637" i="1" s="1"/>
  <c r="AO638" i="1" a="1"/>
  <c r="AO638" i="1" s="1"/>
  <c r="AO639" i="1" a="1"/>
  <c r="AO639" i="1" s="1"/>
  <c r="AO640" i="1" a="1"/>
  <c r="AO640" i="1" s="1"/>
  <c r="AO641" i="1" a="1"/>
  <c r="AO641" i="1" s="1"/>
  <c r="AO642" i="1" a="1"/>
  <c r="AO642" i="1" s="1"/>
  <c r="AO643" i="1" a="1"/>
  <c r="AO643" i="1" s="1"/>
  <c r="AO644" i="1" a="1"/>
  <c r="AO644" i="1" s="1"/>
  <c r="AO645" i="1" a="1"/>
  <c r="AO645" i="1" s="1"/>
  <c r="AO646" i="1" a="1"/>
  <c r="AO646" i="1" s="1"/>
  <c r="AO647" i="1" a="1"/>
  <c r="AO647" i="1" s="1"/>
  <c r="AO648" i="1" a="1"/>
  <c r="AO648" i="1"/>
  <c r="AO649" i="1" a="1"/>
  <c r="AO649" i="1"/>
  <c r="AO650" i="1" a="1"/>
  <c r="AO650" i="1" s="1"/>
  <c r="AO651" i="1" a="1"/>
  <c r="AO651" i="1" s="1"/>
  <c r="AO652" i="1" a="1"/>
  <c r="AO652" i="1" s="1"/>
  <c r="AO653" i="1" a="1"/>
  <c r="AO653" i="1" s="1"/>
  <c r="AO654" i="1" a="1"/>
  <c r="AO654" i="1" s="1"/>
  <c r="AO655" i="1" a="1"/>
  <c r="AO655" i="1" s="1"/>
  <c r="AO656" i="1" a="1"/>
  <c r="AO656" i="1"/>
  <c r="AO657" i="1" a="1"/>
  <c r="AO657" i="1" s="1"/>
  <c r="AO658" i="1" a="1"/>
  <c r="AO658" i="1" s="1"/>
  <c r="AO659" i="1" a="1"/>
  <c r="AO659" i="1" s="1"/>
  <c r="AO660" i="1" a="1"/>
  <c r="AO660" i="1" s="1"/>
  <c r="AO661" i="1" a="1"/>
  <c r="AO661" i="1" s="1"/>
  <c r="AO662" i="1" a="1"/>
  <c r="AO662" i="1" s="1"/>
  <c r="AO663" i="1" a="1"/>
  <c r="AO663" i="1" s="1"/>
  <c r="AO664" i="1" a="1"/>
  <c r="AO664" i="1" s="1"/>
  <c r="AO665" i="1" a="1"/>
  <c r="AO665" i="1" s="1"/>
  <c r="AO666" i="1" a="1"/>
  <c r="AO666" i="1" s="1"/>
  <c r="AO667" i="1" a="1"/>
  <c r="AO667" i="1"/>
  <c r="AO668" i="1" a="1"/>
  <c r="AO668" i="1" s="1"/>
  <c r="AO669" i="1" a="1"/>
  <c r="AO669" i="1" s="1"/>
  <c r="AO670" i="1" a="1"/>
  <c r="AO670" i="1" s="1"/>
  <c r="AO671" i="1" a="1"/>
  <c r="AO671" i="1" s="1"/>
  <c r="AO672" i="1" a="1"/>
  <c r="AO672" i="1" s="1"/>
  <c r="AO673" i="1" a="1"/>
  <c r="AO673" i="1" s="1"/>
  <c r="AO674" i="1" a="1"/>
  <c r="AO674" i="1" s="1"/>
  <c r="AO675" i="1" a="1"/>
  <c r="AO675" i="1" s="1"/>
  <c r="AO676" i="1" a="1"/>
  <c r="AO676" i="1" s="1"/>
  <c r="AO677" i="1" a="1"/>
  <c r="AO677" i="1" s="1"/>
  <c r="AO678" i="1" a="1"/>
  <c r="AO678" i="1" s="1"/>
  <c r="AO679" i="1" a="1"/>
  <c r="AO679" i="1" s="1"/>
  <c r="AO680" i="1" a="1"/>
  <c r="AO680" i="1" s="1"/>
  <c r="AO681" i="1" a="1"/>
  <c r="AO681" i="1" s="1"/>
  <c r="AO682" i="1" a="1"/>
  <c r="AO682" i="1" s="1"/>
  <c r="AO683" i="1" a="1"/>
  <c r="AO683" i="1" s="1"/>
  <c r="AO684" i="1" a="1"/>
  <c r="AO684" i="1" s="1"/>
  <c r="AO685" i="1" a="1"/>
  <c r="AO685" i="1" s="1"/>
  <c r="AO686" i="1" a="1"/>
  <c r="AO686" i="1" s="1"/>
  <c r="AO687" i="1" a="1"/>
  <c r="AO687" i="1" s="1"/>
  <c r="AO688" i="1" a="1"/>
  <c r="AO688" i="1" s="1"/>
  <c r="AO689" i="1" a="1"/>
  <c r="AO689" i="1" s="1"/>
  <c r="AO690" i="1" a="1"/>
  <c r="AO690" i="1" s="1"/>
  <c r="AO691" i="1" a="1"/>
  <c r="AO691" i="1" s="1"/>
  <c r="AO692" i="1" a="1"/>
  <c r="AO692" i="1"/>
  <c r="AO693" i="1" a="1"/>
  <c r="AO693" i="1" s="1"/>
  <c r="AO694" i="1" a="1"/>
  <c r="AO694" i="1" s="1"/>
  <c r="AO695" i="1" a="1"/>
  <c r="AO695" i="1" s="1"/>
  <c r="AO696" i="1" a="1"/>
  <c r="AO696" i="1" s="1"/>
  <c r="AO697" i="1" a="1"/>
  <c r="AO697" i="1" s="1"/>
  <c r="AO698" i="1" a="1"/>
  <c r="AO698" i="1" s="1"/>
  <c r="AO699" i="1" a="1"/>
  <c r="AO699" i="1" s="1"/>
  <c r="AO700" i="1" a="1"/>
  <c r="AO700" i="1"/>
  <c r="AO701" i="1" a="1"/>
  <c r="AO701" i="1"/>
  <c r="AO702" i="1" a="1"/>
  <c r="AO702" i="1" s="1"/>
  <c r="AO703" i="1" a="1"/>
  <c r="AO703" i="1" s="1"/>
  <c r="AO704" i="1" a="1"/>
  <c r="AO704" i="1" s="1"/>
  <c r="AO705" i="1" a="1"/>
  <c r="AO705" i="1" s="1"/>
  <c r="AO706" i="1" a="1"/>
  <c r="AO706" i="1" s="1"/>
  <c r="AO707" i="1" a="1"/>
  <c r="AO707" i="1" s="1"/>
  <c r="AO708" i="1" a="1"/>
  <c r="AO708" i="1"/>
  <c r="AO709" i="1" a="1"/>
  <c r="AO709" i="1" s="1"/>
  <c r="AO710" i="1" a="1"/>
  <c r="AO710" i="1"/>
  <c r="AO711" i="1" a="1"/>
  <c r="AO711" i="1" s="1"/>
  <c r="AO712" i="1" a="1"/>
  <c r="AO712" i="1" s="1"/>
  <c r="AO713" i="1" a="1"/>
  <c r="AO713" i="1" s="1"/>
  <c r="AO714" i="1" a="1"/>
  <c r="AO714" i="1" s="1"/>
  <c r="AO715" i="1" a="1"/>
  <c r="AO715" i="1" s="1"/>
  <c r="AO716" i="1" a="1"/>
  <c r="AO716" i="1" s="1"/>
  <c r="AO717" i="1" a="1"/>
  <c r="AO717" i="1" s="1"/>
  <c r="AO718" i="1" a="1"/>
  <c r="AO718" i="1" s="1"/>
  <c r="AO719" i="1" a="1"/>
  <c r="AO719" i="1"/>
  <c r="AO720" i="1" a="1"/>
  <c r="AO720" i="1" s="1"/>
  <c r="AO721" i="1" a="1"/>
  <c r="AO721" i="1"/>
  <c r="AO722" i="1" a="1"/>
  <c r="AO722" i="1" s="1"/>
  <c r="AO723" i="1" a="1"/>
  <c r="AO723" i="1" s="1"/>
  <c r="AO724" i="1" a="1"/>
  <c r="AO724" i="1" s="1"/>
  <c r="AO725" i="1" a="1"/>
  <c r="AO725" i="1" s="1"/>
  <c r="AO726" i="1" a="1"/>
  <c r="AO726" i="1"/>
  <c r="AO727" i="1" a="1"/>
  <c r="AO727" i="1" s="1"/>
  <c r="AO728" i="1" a="1"/>
  <c r="AO728" i="1" s="1"/>
  <c r="AO729" i="1" a="1"/>
  <c r="AO729" i="1" s="1"/>
  <c r="AO730" i="1" a="1"/>
  <c r="AO730" i="1" s="1"/>
  <c r="AO731" i="1" a="1"/>
  <c r="AO731" i="1"/>
  <c r="AO732" i="1" a="1"/>
  <c r="AO732" i="1" s="1"/>
  <c r="AO733" i="1" a="1"/>
  <c r="AO733" i="1" s="1"/>
  <c r="AO734" i="1" a="1"/>
  <c r="AO734" i="1"/>
  <c r="AO735" i="1" a="1"/>
  <c r="AO735" i="1" s="1"/>
  <c r="AO736" i="1" a="1"/>
  <c r="AO736" i="1" s="1"/>
  <c r="AO737" i="1" a="1"/>
  <c r="AO737" i="1" s="1"/>
  <c r="AO738" i="1" a="1"/>
  <c r="AO738" i="1"/>
  <c r="AO739" i="1" a="1"/>
  <c r="AO739" i="1" s="1"/>
  <c r="AO740" i="1" a="1"/>
  <c r="AO740" i="1" s="1"/>
  <c r="AO741" i="1" a="1"/>
  <c r="AO741" i="1" s="1"/>
  <c r="AO742" i="1" a="1"/>
  <c r="AO742" i="1" s="1"/>
  <c r="AO743" i="1" a="1"/>
  <c r="AO743" i="1" s="1"/>
  <c r="AO744" i="1" a="1"/>
  <c r="AO744" i="1" s="1"/>
  <c r="AO745" i="1" a="1"/>
  <c r="AO745" i="1"/>
  <c r="AO746" i="1" a="1"/>
  <c r="AO746" i="1" s="1"/>
  <c r="AO747" i="1" a="1"/>
  <c r="AO747" i="1" s="1"/>
  <c r="AO748" i="1" a="1"/>
  <c r="AO748" i="1" s="1"/>
  <c r="AO749" i="1" a="1"/>
  <c r="AO749" i="1" s="1"/>
  <c r="AO750" i="1" a="1"/>
  <c r="AO750" i="1" s="1"/>
  <c r="AO751" i="1" a="1"/>
  <c r="AO751" i="1" s="1"/>
  <c r="AO752" i="1" a="1"/>
  <c r="AO752" i="1"/>
  <c r="AO753" i="1" a="1"/>
  <c r="AO753" i="1" s="1"/>
  <c r="AO754" i="1" a="1"/>
  <c r="AO754" i="1"/>
  <c r="AO755" i="1" a="1"/>
  <c r="AO755" i="1" s="1"/>
  <c r="AO756" i="1" a="1"/>
  <c r="AO756" i="1"/>
  <c r="AO757" i="1" a="1"/>
  <c r="AO757" i="1" s="1"/>
  <c r="AO758" i="1" a="1"/>
  <c r="AO758" i="1" s="1"/>
  <c r="AO759" i="1" a="1"/>
  <c r="AO759" i="1" s="1"/>
  <c r="AO760" i="1" a="1"/>
  <c r="AO760" i="1" s="1"/>
  <c r="AO761" i="1" a="1"/>
  <c r="AO761" i="1"/>
  <c r="AO762" i="1" a="1"/>
  <c r="AO762" i="1" s="1"/>
  <c r="AO763" i="1" a="1"/>
  <c r="AO763" i="1"/>
  <c r="AO764" i="1" a="1"/>
  <c r="AO764" i="1" s="1"/>
  <c r="AO765" i="1" a="1"/>
  <c r="AO765" i="1" s="1"/>
  <c r="AO766" i="1" a="1"/>
  <c r="AO766" i="1" s="1"/>
  <c r="AO767" i="1" a="1"/>
  <c r="AO767" i="1" s="1"/>
  <c r="AO768" i="1" a="1"/>
  <c r="AO768" i="1" s="1"/>
  <c r="AO769" i="1" a="1"/>
  <c r="AO769" i="1" s="1"/>
  <c r="AO770" i="1" a="1"/>
  <c r="AO770" i="1"/>
  <c r="AO771" i="1" a="1"/>
  <c r="AO771" i="1" s="1"/>
  <c r="AO772" i="1" a="1"/>
  <c r="AO772" i="1"/>
  <c r="AO773" i="1" a="1"/>
  <c r="AO773" i="1" s="1"/>
  <c r="AO774" i="1" a="1"/>
  <c r="AO774" i="1" s="1"/>
  <c r="AO775" i="1" a="1"/>
  <c r="AO775" i="1" s="1"/>
  <c r="AO776" i="1" a="1"/>
  <c r="AO776" i="1" s="1"/>
  <c r="AO777" i="1" a="1"/>
  <c r="AO777" i="1" s="1"/>
  <c r="AO778" i="1" a="1"/>
  <c r="AO778" i="1" s="1"/>
  <c r="AO779" i="1" a="1"/>
  <c r="AO779" i="1"/>
  <c r="AO780" i="1" a="1"/>
  <c r="AO780" i="1" s="1"/>
  <c r="AO781" i="1" a="1"/>
  <c r="AO781" i="1" s="1"/>
  <c r="AO782" i="1" a="1"/>
  <c r="AO782" i="1"/>
  <c r="AO783" i="1" a="1"/>
  <c r="AO783" i="1" s="1"/>
  <c r="AO784" i="1" a="1"/>
  <c r="AO784" i="1" s="1"/>
  <c r="AO785" i="1" a="1"/>
  <c r="AO785" i="1" s="1"/>
  <c r="AO786" i="1" a="1"/>
  <c r="AO786" i="1" s="1"/>
  <c r="AO787" i="1" a="1"/>
  <c r="AO787" i="1" s="1"/>
  <c r="AO788" i="1" a="1"/>
  <c r="AO788" i="1" s="1"/>
  <c r="AO789" i="1" a="1"/>
  <c r="AO789" i="1" s="1"/>
  <c r="AO790" i="1" a="1"/>
  <c r="AO790" i="1" s="1"/>
  <c r="AO791" i="1" a="1"/>
  <c r="AO791" i="1" s="1"/>
  <c r="AO792" i="1" a="1"/>
  <c r="AO792" i="1"/>
  <c r="AO793" i="1" a="1"/>
  <c r="AO793" i="1"/>
  <c r="AO794" i="1" a="1"/>
  <c r="AO794" i="1" s="1"/>
  <c r="AO795" i="1" a="1"/>
  <c r="AO795" i="1" s="1"/>
  <c r="AO796" i="1" a="1"/>
  <c r="AO796" i="1" s="1"/>
  <c r="AO797" i="1" a="1"/>
  <c r="AO797" i="1"/>
  <c r="AO798" i="1" a="1"/>
  <c r="AO798" i="1" s="1"/>
  <c r="AO799" i="1" a="1"/>
  <c r="AO799" i="1" s="1"/>
  <c r="AO800" i="1" a="1"/>
  <c r="AO800" i="1" s="1"/>
  <c r="AO801" i="1" a="1"/>
  <c r="AO801" i="1" s="1"/>
  <c r="AO802" i="1" a="1"/>
  <c r="AO802" i="1"/>
  <c r="AO803" i="1" a="1"/>
  <c r="AO803" i="1" s="1"/>
  <c r="AO804" i="1" a="1"/>
  <c r="AO804" i="1" s="1"/>
  <c r="AO805" i="1" a="1"/>
  <c r="AO805" i="1" s="1"/>
  <c r="AO806" i="1" a="1"/>
  <c r="AO806" i="1" s="1"/>
  <c r="AO807" i="1" a="1"/>
  <c r="AO807" i="1" s="1"/>
  <c r="AO808" i="1" a="1"/>
  <c r="AO808" i="1" s="1"/>
  <c r="AO809" i="1" a="1"/>
  <c r="AO809" i="1" s="1"/>
  <c r="AO810" i="1" a="1"/>
  <c r="AO810" i="1"/>
  <c r="AO811" i="1" a="1"/>
  <c r="AO811" i="1" s="1"/>
  <c r="AO812" i="1" a="1"/>
  <c r="AO812" i="1" s="1"/>
  <c r="AO813" i="1" a="1"/>
  <c r="AO813" i="1" s="1"/>
  <c r="AO814" i="1" a="1"/>
  <c r="AO814" i="1" s="1"/>
  <c r="AO815" i="1" a="1"/>
  <c r="AO815" i="1" s="1"/>
  <c r="AO816" i="1" a="1"/>
  <c r="AO816" i="1" s="1"/>
  <c r="AO817" i="1" a="1"/>
  <c r="AO817" i="1"/>
  <c r="AO818" i="1" a="1"/>
  <c r="AO818" i="1" s="1"/>
  <c r="AO819" i="1" a="1"/>
  <c r="AO819" i="1" s="1"/>
  <c r="AO820" i="1" a="1"/>
  <c r="AO820" i="1" s="1"/>
  <c r="AO821" i="1" a="1"/>
  <c r="AO821" i="1" s="1"/>
  <c r="AO822" i="1" a="1"/>
  <c r="AO822" i="1"/>
  <c r="AO823" i="1" a="1"/>
  <c r="AO823" i="1" s="1"/>
  <c r="AO824" i="1" a="1"/>
  <c r="AO824" i="1" s="1"/>
  <c r="AO825" i="1" a="1"/>
  <c r="AO825" i="1" s="1"/>
  <c r="AO826" i="1" a="1"/>
  <c r="AO826" i="1" s="1"/>
  <c r="AO827" i="1" a="1"/>
  <c r="AO827" i="1"/>
  <c r="AO828" i="1" a="1"/>
  <c r="AO828" i="1" s="1"/>
  <c r="AO829" i="1" a="1"/>
  <c r="AO829" i="1" s="1"/>
  <c r="AO830" i="1" a="1"/>
  <c r="AO830" i="1" s="1"/>
  <c r="AO831" i="1" a="1"/>
  <c r="AO831" i="1"/>
  <c r="AO832" i="1" a="1"/>
  <c r="AO832" i="1" s="1"/>
  <c r="AO833" i="1" a="1"/>
  <c r="AO833" i="1" s="1"/>
  <c r="AO834" i="1" a="1"/>
  <c r="AO834" i="1" s="1"/>
  <c r="AO835" i="1" a="1"/>
  <c r="AO835" i="1"/>
  <c r="AO836" i="1" a="1"/>
  <c r="AO836" i="1" s="1"/>
  <c r="AO837" i="1" a="1"/>
  <c r="AO837" i="1" s="1"/>
  <c r="AO838" i="1" a="1"/>
  <c r="AO838" i="1" s="1"/>
  <c r="AO839" i="1" a="1"/>
  <c r="AO839" i="1" s="1"/>
  <c r="AO840" i="1" a="1"/>
  <c r="AO840" i="1"/>
  <c r="AO841" i="1" a="1"/>
  <c r="AO841" i="1" s="1"/>
  <c r="AO842" i="1" a="1"/>
  <c r="AO842" i="1" s="1"/>
  <c r="AO843" i="1" a="1"/>
  <c r="AO843" i="1"/>
  <c r="AO844" i="1" a="1"/>
  <c r="AO844" i="1" s="1"/>
  <c r="AO845" i="1" a="1"/>
  <c r="AO845" i="1" s="1"/>
  <c r="AO846" i="1" a="1"/>
  <c r="AO846" i="1" s="1"/>
  <c r="AO847" i="1" a="1"/>
  <c r="AO847" i="1" s="1"/>
  <c r="AO848" i="1" a="1"/>
  <c r="AO848" i="1" s="1"/>
  <c r="AO849" i="1" a="1"/>
  <c r="AO849" i="1"/>
  <c r="AO850" i="1" a="1"/>
  <c r="AO850" i="1" s="1"/>
  <c r="AO851" i="1" a="1"/>
  <c r="AO851" i="1"/>
  <c r="AO852" i="1" a="1"/>
  <c r="AO852" i="1" s="1"/>
  <c r="AO853" i="1" a="1"/>
  <c r="AO853" i="1"/>
  <c r="AO854" i="1" a="1"/>
  <c r="AO854" i="1" s="1"/>
  <c r="AO855" i="1" a="1"/>
  <c r="AO855" i="1" s="1"/>
  <c r="AO856" i="1" a="1"/>
  <c r="AO856" i="1" s="1"/>
  <c r="AO857" i="1" a="1"/>
  <c r="AO857" i="1" s="1"/>
  <c r="AO858" i="1" a="1"/>
  <c r="AO858" i="1"/>
  <c r="AO859" i="1" a="1"/>
  <c r="AO859" i="1" s="1"/>
  <c r="AO860" i="1" a="1"/>
  <c r="AO860" i="1" s="1"/>
  <c r="AO861" i="1" a="1"/>
  <c r="AO861" i="1" s="1"/>
  <c r="AO862" i="1" a="1"/>
  <c r="AO862" i="1" s="1"/>
  <c r="AO863" i="1" a="1"/>
  <c r="AO863" i="1" s="1"/>
  <c r="AO864" i="1" a="1"/>
  <c r="AO864" i="1" s="1"/>
  <c r="AO865" i="1" a="1"/>
  <c r="AO865" i="1"/>
  <c r="AO866" i="1" a="1"/>
  <c r="AO866" i="1" s="1"/>
  <c r="AO867" i="1" a="1"/>
  <c r="AO867" i="1" s="1"/>
  <c r="AO868" i="1" a="1"/>
  <c r="AO868" i="1" s="1"/>
  <c r="AO869" i="1" a="1"/>
  <c r="AO869" i="1"/>
  <c r="AO870" i="1" a="1"/>
  <c r="AO870" i="1" s="1"/>
  <c r="AO871" i="1" a="1"/>
  <c r="AO871" i="1" s="1"/>
  <c r="AO872" i="1" a="1"/>
  <c r="AO872" i="1" s="1"/>
  <c r="AO873" i="1" a="1"/>
  <c r="AO873" i="1" s="1"/>
  <c r="AO874" i="1" a="1"/>
  <c r="AO874" i="1" s="1"/>
  <c r="AO875" i="1" a="1"/>
  <c r="AO875" i="1" s="1"/>
  <c r="AO876" i="1" a="1"/>
  <c r="AO876" i="1" s="1"/>
  <c r="AO877" i="1" a="1"/>
  <c r="AO877" i="1"/>
  <c r="AO878" i="1" a="1"/>
  <c r="AO878" i="1" s="1"/>
  <c r="AO879" i="1" a="1"/>
  <c r="AO879" i="1" s="1"/>
  <c r="AO880" i="1" a="1"/>
  <c r="AO880" i="1" s="1"/>
  <c r="AO881" i="1" a="1"/>
  <c r="AO881" i="1" s="1"/>
  <c r="AO882" i="1" a="1"/>
  <c r="AO882" i="1"/>
  <c r="AO883" i="1" a="1"/>
  <c r="AO883" i="1" s="1"/>
  <c r="AO884" i="1" a="1"/>
  <c r="AO884" i="1"/>
  <c r="AO885" i="1" a="1"/>
  <c r="AO885" i="1" s="1"/>
  <c r="AO886" i="1" a="1"/>
  <c r="AO886" i="1" s="1"/>
  <c r="AO887" i="1" a="1"/>
  <c r="AO887" i="1" s="1"/>
  <c r="AO888" i="1" a="1"/>
  <c r="AO888" i="1" s="1"/>
  <c r="AO889" i="1" a="1"/>
  <c r="AO889" i="1" s="1"/>
  <c r="AO890" i="1" a="1"/>
  <c r="AO890" i="1"/>
  <c r="AO891" i="1" a="1"/>
  <c r="AO891" i="1" s="1"/>
  <c r="AO892" i="1" a="1"/>
  <c r="AO892" i="1" s="1"/>
  <c r="AO893" i="1" a="1"/>
  <c r="AO893" i="1" s="1"/>
  <c r="AO894" i="1" a="1"/>
  <c r="AO894" i="1"/>
  <c r="AO895" i="1" a="1"/>
  <c r="AO895" i="1" s="1"/>
  <c r="AO896" i="1" a="1"/>
  <c r="AO896" i="1" s="1"/>
  <c r="AO897" i="1" a="1"/>
  <c r="AO897" i="1" s="1"/>
  <c r="AO898" i="1" a="1"/>
  <c r="AO898" i="1" s="1"/>
  <c r="AO899" i="1" a="1"/>
  <c r="AO899" i="1" s="1"/>
  <c r="AO900" i="1" a="1"/>
  <c r="AO900" i="1" s="1"/>
  <c r="AO901" i="1" a="1"/>
  <c r="AO901" i="1" s="1"/>
  <c r="AO902" i="1" a="1"/>
  <c r="AO902" i="1" s="1"/>
  <c r="AO903" i="1" a="1"/>
  <c r="AO903" i="1" s="1"/>
  <c r="AO904" i="1" a="1"/>
  <c r="AO904" i="1" s="1"/>
  <c r="AO905" i="1" a="1"/>
  <c r="AO905" i="1" s="1"/>
  <c r="AO906" i="1" a="1"/>
  <c r="AO906" i="1" s="1"/>
  <c r="AO907" i="1" a="1"/>
  <c r="AO907" i="1"/>
  <c r="AO908" i="1" a="1"/>
  <c r="AO908" i="1" s="1"/>
  <c r="AO909" i="1" a="1"/>
  <c r="AO909" i="1"/>
  <c r="AO910" i="1" a="1"/>
  <c r="AO910" i="1" s="1"/>
  <c r="AO911" i="1" a="1"/>
  <c r="AO911" i="1" s="1"/>
  <c r="AO912" i="1" a="1"/>
  <c r="AO912" i="1" s="1"/>
  <c r="AO913" i="1" a="1"/>
  <c r="AO913" i="1" s="1"/>
  <c r="AO914" i="1" a="1"/>
  <c r="AO914" i="1" s="1"/>
  <c r="AO915" i="1" a="1"/>
  <c r="AO915" i="1"/>
  <c r="AO916" i="1" a="1"/>
  <c r="AO916" i="1" s="1"/>
  <c r="AO917" i="1" a="1"/>
  <c r="AO917" i="1"/>
  <c r="AO918" i="1" a="1"/>
  <c r="AO918" i="1" s="1"/>
  <c r="AO919" i="1" a="1"/>
  <c r="AO919" i="1" s="1"/>
  <c r="AO920" i="1" a="1"/>
  <c r="AO920" i="1" s="1"/>
  <c r="AO921" i="1" a="1"/>
  <c r="AO921" i="1" s="1"/>
  <c r="AO922" i="1" a="1"/>
  <c r="AO922" i="1" s="1"/>
  <c r="AO923" i="1" a="1"/>
  <c r="AO923" i="1"/>
  <c r="AO924" i="1" a="1"/>
  <c r="AO924" i="1" s="1"/>
  <c r="AO925" i="1" a="1"/>
  <c r="AO925" i="1"/>
  <c r="AO926" i="1" a="1"/>
  <c r="AO926" i="1"/>
  <c r="AO927" i="1" a="1"/>
  <c r="AO927" i="1" s="1"/>
  <c r="AO928" i="1" a="1"/>
  <c r="AO928" i="1" s="1"/>
  <c r="AO929" i="1" a="1"/>
  <c r="AO929" i="1" s="1"/>
  <c r="AO930" i="1" a="1"/>
  <c r="AO930" i="1" s="1"/>
  <c r="AO931" i="1" a="1"/>
  <c r="AO931" i="1" s="1"/>
  <c r="AO932" i="1" a="1"/>
  <c r="AO932" i="1" s="1"/>
  <c r="AO933" i="1" a="1"/>
  <c r="AO933" i="1"/>
  <c r="AO934" i="1" a="1"/>
  <c r="AO934" i="1" s="1"/>
  <c r="AO935" i="1" a="1"/>
  <c r="AO935" i="1" s="1"/>
  <c r="AO936" i="1" a="1"/>
  <c r="AO936" i="1" s="1"/>
  <c r="AO937" i="1" a="1"/>
  <c r="AO937" i="1" s="1"/>
  <c r="AO938" i="1" a="1"/>
  <c r="AO938" i="1" s="1"/>
  <c r="AO939" i="1" a="1"/>
  <c r="AO939" i="1"/>
  <c r="AO940" i="1" a="1"/>
  <c r="AO940" i="1" s="1"/>
  <c r="AO941" i="1" a="1"/>
  <c r="AO941" i="1"/>
  <c r="AO942" i="1" a="1"/>
  <c r="AO942" i="1"/>
  <c r="AO943" i="1" a="1"/>
  <c r="AO943" i="1" s="1"/>
  <c r="AO944" i="1" a="1"/>
  <c r="AO944" i="1" s="1"/>
  <c r="AO945" i="1" a="1"/>
  <c r="AO945" i="1" s="1"/>
  <c r="AO946" i="1" a="1"/>
  <c r="AO946" i="1" s="1"/>
  <c r="AO947" i="1" a="1"/>
  <c r="AO947" i="1" s="1"/>
  <c r="AO948" i="1" a="1"/>
  <c r="AO948" i="1"/>
  <c r="AO949" i="1" a="1"/>
  <c r="AO949" i="1" s="1"/>
  <c r="AO950" i="1" a="1"/>
  <c r="AO950" i="1"/>
  <c r="AO951" i="1" a="1"/>
  <c r="AO951" i="1"/>
  <c r="AO952" i="1" a="1"/>
  <c r="AO952" i="1" s="1"/>
  <c r="AO953" i="1" a="1"/>
  <c r="AO953" i="1" s="1"/>
  <c r="AO954" i="1" a="1"/>
  <c r="AO954" i="1" s="1"/>
  <c r="AO955" i="1" a="1"/>
  <c r="AO955" i="1" s="1"/>
  <c r="AO956" i="1" a="1"/>
  <c r="AO956" i="1"/>
  <c r="AO957" i="1" a="1"/>
  <c r="AO957" i="1" s="1"/>
  <c r="AO958" i="1" a="1"/>
  <c r="AO958" i="1" s="1"/>
  <c r="AO959" i="1" a="1"/>
  <c r="AO959" i="1" s="1"/>
  <c r="AO960" i="1" a="1"/>
  <c r="AO960" i="1" s="1"/>
  <c r="AO961" i="1" a="1"/>
  <c r="AO961" i="1" s="1"/>
  <c r="AO962" i="1" a="1"/>
  <c r="AO962" i="1" s="1"/>
  <c r="AO963" i="1" a="1"/>
  <c r="AO963" i="1" s="1"/>
  <c r="AO964" i="1" a="1"/>
  <c r="AO964" i="1" s="1"/>
  <c r="AO965" i="1" a="1"/>
  <c r="AO965" i="1" s="1"/>
  <c r="AO966" i="1" a="1"/>
  <c r="AO966" i="1"/>
  <c r="AO967" i="1" a="1"/>
  <c r="AO967" i="1" s="1"/>
  <c r="AO968" i="1" a="1"/>
  <c r="AO968" i="1" s="1"/>
  <c r="AO969" i="1" a="1"/>
  <c r="AO969" i="1" s="1"/>
  <c r="AO970" i="1" a="1"/>
  <c r="AO970" i="1" s="1"/>
  <c r="AO971" i="1" a="1"/>
  <c r="AO971" i="1" s="1"/>
  <c r="AO972" i="1" a="1"/>
  <c r="AO972" i="1" s="1"/>
  <c r="AO973" i="1" a="1"/>
  <c r="AO973" i="1" s="1"/>
  <c r="AO974" i="1" a="1"/>
  <c r="AO974" i="1" s="1"/>
  <c r="AO975" i="1" a="1"/>
  <c r="AO975" i="1"/>
  <c r="AO976" i="1" a="1"/>
  <c r="AO976" i="1" s="1"/>
  <c r="AO977" i="1" a="1"/>
  <c r="AO977" i="1" s="1"/>
  <c r="AO978" i="1" a="1"/>
  <c r="AO978" i="1" s="1"/>
  <c r="AO979" i="1" a="1"/>
  <c r="AO979" i="1" s="1"/>
  <c r="AO980" i="1" a="1"/>
  <c r="AO980" i="1"/>
  <c r="AO981" i="1" a="1"/>
  <c r="AO981" i="1" s="1"/>
  <c r="AO982" i="1" a="1"/>
  <c r="AO982" i="1" s="1"/>
  <c r="AO983" i="1" a="1"/>
  <c r="AO983" i="1"/>
  <c r="AO984" i="1" a="1"/>
  <c r="AO984" i="1"/>
  <c r="AO985" i="1" a="1"/>
  <c r="AO985" i="1" s="1"/>
  <c r="AO986" i="1" a="1"/>
  <c r="AO986" i="1" s="1"/>
  <c r="AO987" i="1" a="1"/>
  <c r="AO987" i="1" s="1"/>
  <c r="AO988" i="1" a="1"/>
  <c r="AO988" i="1" s="1"/>
  <c r="AO989" i="1" a="1"/>
  <c r="AO989" i="1" s="1"/>
  <c r="AO990" i="1" a="1"/>
  <c r="AO990" i="1" s="1"/>
  <c r="AO991" i="1" a="1"/>
  <c r="AO991" i="1" s="1"/>
  <c r="AO992" i="1" a="1"/>
  <c r="AO992" i="1"/>
  <c r="AO993" i="1" a="1"/>
  <c r="AO993" i="1"/>
  <c r="AO994" i="1" a="1"/>
  <c r="AO994" i="1" s="1"/>
  <c r="AO995" i="1" a="1"/>
  <c r="AO995" i="1" s="1"/>
  <c r="AO996" i="1" a="1"/>
  <c r="AO996" i="1" s="1"/>
  <c r="AO997" i="1" a="1"/>
  <c r="AO997" i="1"/>
  <c r="AO998" i="1" a="1"/>
  <c r="AO998" i="1"/>
  <c r="AO999" i="1" a="1"/>
  <c r="AO999" i="1" s="1"/>
  <c r="AO1000" i="1" a="1"/>
  <c r="AO1000" i="1" s="1"/>
  <c r="AO1001" i="1" a="1"/>
  <c r="AO1001" i="1"/>
  <c r="AO1002" i="1" a="1"/>
  <c r="AO1002" i="1" s="1"/>
  <c r="AO1003" i="1" a="1"/>
  <c r="AO1003" i="1" s="1"/>
  <c r="AO1004" i="1" a="1"/>
  <c r="AO1004" i="1" s="1"/>
  <c r="AO1005" i="1" a="1"/>
  <c r="AO1005" i="1"/>
  <c r="AO1006" i="1" a="1"/>
  <c r="AO1006" i="1" s="1"/>
  <c r="AO1007" i="1" a="1"/>
  <c r="AO1007" i="1"/>
  <c r="AO1008" i="1" a="1"/>
  <c r="AO1008" i="1" s="1"/>
  <c r="AO1009" i="1" a="1"/>
  <c r="AO1009" i="1"/>
  <c r="AO1010" i="1" a="1"/>
  <c r="AO1010" i="1" s="1"/>
  <c r="AO1011" i="1" a="1"/>
  <c r="AO1011" i="1" s="1"/>
  <c r="AO1012" i="1" a="1"/>
  <c r="AO1012" i="1" s="1"/>
  <c r="AO1013" i="1" a="1"/>
  <c r="AO1013" i="1" s="1"/>
  <c r="AO1014" i="1" a="1"/>
  <c r="AO1014" i="1"/>
  <c r="AO1015" i="1" a="1"/>
  <c r="AO1015" i="1"/>
  <c r="AO1016" i="1" a="1"/>
  <c r="AO1016" i="1" s="1"/>
  <c r="AO1017" i="1" a="1"/>
  <c r="AO1017" i="1" s="1"/>
  <c r="AO1018" i="1" a="1"/>
  <c r="AO1018" i="1" s="1"/>
  <c r="AO1019" i="1" a="1"/>
  <c r="AO1019" i="1" s="1"/>
  <c r="AO1020" i="1" a="1"/>
  <c r="AO1020" i="1" s="1"/>
  <c r="AO1021" i="1" a="1"/>
  <c r="AO1021" i="1" s="1"/>
  <c r="AO1022" i="1" a="1"/>
  <c r="AO1022" i="1" s="1"/>
  <c r="AO1023" i="1" a="1"/>
  <c r="AO1023" i="1"/>
  <c r="AO1024" i="1" a="1"/>
  <c r="AO1024" i="1" s="1"/>
  <c r="AO1025" i="1" a="1"/>
  <c r="AO1025" i="1"/>
  <c r="AO1026" i="1" a="1"/>
  <c r="AO1026" i="1" s="1"/>
  <c r="AO1027" i="1" a="1"/>
  <c r="AO1027" i="1" s="1"/>
  <c r="AO1028" i="1" a="1"/>
  <c r="AO1028" i="1"/>
  <c r="AO1029" i="1" a="1"/>
  <c r="AO1029" i="1" s="1"/>
  <c r="AO1030" i="1" a="1"/>
  <c r="AO1030" i="1" s="1"/>
  <c r="AO1031" i="1" a="1"/>
  <c r="AO1031" i="1" s="1"/>
  <c r="AO1032" i="1" a="1"/>
  <c r="AO1032" i="1" s="1"/>
  <c r="AO1033" i="1" a="1"/>
  <c r="AO1033" i="1" s="1"/>
  <c r="AO1034" i="1" a="1"/>
  <c r="AO1034" i="1" s="1"/>
  <c r="AO1035" i="1" a="1"/>
  <c r="AO1035" i="1" s="1"/>
  <c r="AO1036" i="1" a="1"/>
  <c r="AO1036" i="1" s="1"/>
  <c r="AO1037" i="1" a="1"/>
  <c r="AO1037" i="1" s="1"/>
  <c r="AO1038" i="1" a="1"/>
  <c r="AO1038" i="1"/>
  <c r="AO1039" i="1" a="1"/>
  <c r="AO1039" i="1"/>
  <c r="AO1040" i="1" a="1"/>
  <c r="AO1040" i="1" s="1"/>
  <c r="AO1041" i="1" a="1"/>
  <c r="AO1041" i="1" s="1"/>
  <c r="AO1042" i="1" a="1"/>
  <c r="AO1042" i="1" s="1"/>
  <c r="AO1043" i="1" a="1"/>
  <c r="AO1043" i="1" s="1"/>
  <c r="AO1044" i="1" a="1"/>
  <c r="AO1044" i="1"/>
  <c r="AO1045" i="1" a="1"/>
  <c r="AO1045" i="1" s="1"/>
  <c r="AO1046" i="1" a="1"/>
  <c r="AO1046" i="1" s="1"/>
  <c r="AO1047" i="1" a="1"/>
  <c r="AO1047" i="1" s="1"/>
  <c r="AO1048" i="1" a="1"/>
  <c r="AO1048" i="1" s="1"/>
  <c r="AO1049" i="1" a="1"/>
  <c r="AO1049" i="1" s="1"/>
  <c r="AO1050" i="1" a="1"/>
  <c r="AO1050" i="1" s="1"/>
  <c r="AO1051" i="1" a="1"/>
  <c r="AO1051" i="1" s="1"/>
  <c r="AO1052" i="1" a="1"/>
  <c r="AO1052" i="1" s="1"/>
  <c r="AO1053" i="1" a="1"/>
  <c r="AO1053" i="1"/>
  <c r="AO1054" i="1" a="1"/>
  <c r="AO1054" i="1" s="1"/>
  <c r="AO1055" i="1" a="1"/>
  <c r="AO1055" i="1" s="1"/>
  <c r="AO1056" i="1" a="1"/>
  <c r="AO1056" i="1"/>
  <c r="AO1057" i="1" a="1"/>
  <c r="AO1057" i="1"/>
  <c r="AO1058" i="1" a="1"/>
  <c r="AO1058" i="1" s="1"/>
  <c r="AO1059" i="1" a="1"/>
  <c r="AO1059" i="1" s="1"/>
  <c r="AO1060" i="1" a="1"/>
  <c r="AO1060" i="1" s="1"/>
  <c r="AO1061" i="1" a="1"/>
  <c r="AO1061" i="1"/>
  <c r="AO1062" i="1" a="1"/>
  <c r="AO1062" i="1" s="1"/>
  <c r="AO1063" i="1" a="1"/>
  <c r="AO1063" i="1" s="1"/>
  <c r="AO1064" i="1" a="1"/>
  <c r="AO1064" i="1" s="1"/>
  <c r="AO1065" i="1" a="1"/>
  <c r="AO1065" i="1"/>
  <c r="AO1066" i="1" a="1"/>
  <c r="AO1066" i="1" s="1"/>
  <c r="AO1067" i="1" a="1"/>
  <c r="AO1067" i="1" s="1"/>
  <c r="AO1068" i="1" a="1"/>
  <c r="AO1068" i="1" s="1"/>
  <c r="AO1069" i="1" a="1"/>
  <c r="AO1069" i="1"/>
  <c r="AO1070" i="1" a="1"/>
  <c r="AO1070" i="1" s="1"/>
  <c r="AO1071" i="1" a="1"/>
  <c r="AO1071" i="1" s="1"/>
  <c r="AO1072" i="1" a="1"/>
  <c r="AO1072" i="1" s="1"/>
  <c r="AO1073" i="1" a="1"/>
  <c r="AO1073" i="1" s="1"/>
  <c r="AO1074" i="1" a="1"/>
  <c r="AO1074" i="1"/>
  <c r="AO1075" i="1" a="1"/>
  <c r="AO1075" i="1" s="1"/>
  <c r="AO1076" i="1" a="1"/>
  <c r="AO1076" i="1" s="1"/>
  <c r="AO1077" i="1" a="1"/>
  <c r="AO1077" i="1" s="1"/>
  <c r="AO1078" i="1" a="1"/>
  <c r="AO1078" i="1" s="1"/>
  <c r="AO1079" i="1" a="1"/>
  <c r="AO1079" i="1" s="1"/>
  <c r="AO1080" i="1" a="1"/>
  <c r="AO1080" i="1" s="1"/>
  <c r="AO1081" i="1" a="1"/>
  <c r="AO1081" i="1"/>
  <c r="AO1082" i="1" a="1"/>
  <c r="AO1082" i="1" s="1"/>
  <c r="AO1083" i="1" a="1"/>
  <c r="AO1083" i="1" s="1"/>
  <c r="AO1084" i="1" a="1"/>
  <c r="AO1084" i="1" s="1"/>
  <c r="AO1085" i="1" a="1"/>
  <c r="AO1085" i="1" s="1"/>
  <c r="AO1086" i="1" a="1"/>
  <c r="AO1086" i="1" s="1"/>
  <c r="AO1087" i="1" a="1"/>
  <c r="AO1087" i="1" s="1"/>
  <c r="AO1088" i="1" a="1"/>
  <c r="AO1088" i="1" s="1"/>
  <c r="AO1089" i="1" a="1"/>
  <c r="AO1089" i="1" s="1"/>
  <c r="AO1090" i="1" a="1"/>
  <c r="AO1090" i="1" s="1"/>
  <c r="AO1091" i="1" a="1"/>
  <c r="AO1091" i="1" s="1"/>
  <c r="AO1092" i="1" a="1"/>
  <c r="AO1092" i="1" s="1"/>
  <c r="AO1093" i="1" a="1"/>
  <c r="AO1093" i="1" s="1"/>
  <c r="AO1094" i="1" a="1"/>
  <c r="AO1094" i="1" s="1"/>
  <c r="AO1095" i="1" a="1"/>
  <c r="AO1095" i="1"/>
  <c r="AO1096" i="1" a="1"/>
  <c r="AO1096" i="1" s="1"/>
  <c r="AO1097" i="1" a="1"/>
  <c r="AO1097" i="1" s="1"/>
  <c r="AO1098" i="1" a="1"/>
  <c r="AO1098" i="1"/>
  <c r="AO1099" i="1" a="1"/>
  <c r="AO1099" i="1"/>
  <c r="AO1100" i="1" a="1"/>
  <c r="AO1100" i="1" s="1"/>
  <c r="AO1101" i="1" a="1"/>
  <c r="AO1101" i="1" s="1"/>
  <c r="AO1102" i="1" a="1"/>
  <c r="AO1102" i="1" s="1"/>
  <c r="AO1103" i="1" a="1"/>
  <c r="AO1103" i="1" s="1"/>
  <c r="AO1104" i="1" a="1"/>
  <c r="AO1104" i="1" s="1"/>
  <c r="AO1105" i="1" a="1"/>
  <c r="AO1105" i="1" s="1"/>
  <c r="AO1106" i="1" a="1"/>
  <c r="AO1106" i="1" s="1"/>
  <c r="AO1107" i="1" a="1"/>
  <c r="AO1107" i="1"/>
  <c r="AO1108" i="1" a="1"/>
  <c r="AO1108" i="1" s="1"/>
  <c r="AO1109" i="1" a="1"/>
  <c r="AO1109" i="1" s="1"/>
  <c r="AO1110" i="1" a="1"/>
  <c r="AO1110" i="1" s="1"/>
  <c r="AO1111" i="1" a="1"/>
  <c r="AO1111" i="1" s="1"/>
  <c r="AO1112" i="1" a="1"/>
  <c r="AO1112" i="1" s="1"/>
  <c r="AO1113" i="1" a="1"/>
  <c r="AO1113" i="1" s="1"/>
  <c r="AO1114" i="1" a="1"/>
  <c r="AO1114" i="1" s="1"/>
  <c r="AO1115" i="1" a="1"/>
  <c r="AO1115" i="1" s="1"/>
  <c r="AO1116" i="1" a="1"/>
  <c r="AO1116" i="1" s="1"/>
  <c r="AO1117" i="1" a="1"/>
  <c r="AO1117" i="1" s="1"/>
  <c r="AO1118" i="1" a="1"/>
  <c r="AO1118" i="1" s="1"/>
  <c r="AO1119" i="1" a="1"/>
  <c r="AO1119" i="1" s="1"/>
  <c r="AO1120" i="1" a="1"/>
  <c r="AO1120" i="1" s="1"/>
  <c r="AO1121" i="1" a="1"/>
  <c r="AO1121" i="1" s="1"/>
  <c r="AO1122" i="1" a="1"/>
  <c r="AO1122" i="1" s="1"/>
  <c r="AO1123" i="1" a="1"/>
  <c r="AO1123" i="1"/>
  <c r="AO1124" i="1" a="1"/>
  <c r="AO1124" i="1"/>
  <c r="AO1125" i="1" a="1"/>
  <c r="AO1125" i="1" s="1"/>
  <c r="AO1126" i="1" a="1"/>
  <c r="AO1126" i="1" s="1"/>
  <c r="AO1127" i="1" a="1"/>
  <c r="AO1127" i="1" s="1"/>
  <c r="AO1128" i="1" a="1"/>
  <c r="AO1128" i="1" s="1"/>
  <c r="AO1129" i="1" a="1"/>
  <c r="AO1129" i="1" s="1"/>
  <c r="AO1130" i="1" a="1"/>
  <c r="AO1130" i="1" s="1"/>
  <c r="AO1131" i="1" a="1"/>
  <c r="AO1131" i="1"/>
  <c r="AO1132" i="1" a="1"/>
  <c r="AO1132" i="1" s="1"/>
  <c r="AO1133" i="1" a="1"/>
  <c r="AO1133" i="1"/>
  <c r="AO1134" i="1" a="1"/>
  <c r="AO1134" i="1" s="1"/>
  <c r="AO1135" i="1" a="1"/>
  <c r="AO1135" i="1" s="1"/>
  <c r="AO1136" i="1" a="1"/>
  <c r="AO1136" i="1" s="1"/>
  <c r="AO1137" i="1" a="1"/>
  <c r="AO1137" i="1"/>
  <c r="AO1138" i="1" a="1"/>
  <c r="AO1138" i="1" s="1"/>
  <c r="AO1139" i="1" a="1"/>
  <c r="AO1139" i="1"/>
  <c r="AO1140" i="1" a="1"/>
  <c r="AO1140" i="1" s="1"/>
  <c r="AO1141" i="1" a="1"/>
  <c r="AO1141" i="1"/>
  <c r="AO1142" i="1" a="1"/>
  <c r="AO1142" i="1" s="1"/>
  <c r="AO1143" i="1" a="1"/>
  <c r="AO1143" i="1" s="1"/>
  <c r="AO1144" i="1" a="1"/>
  <c r="AO1144" i="1" s="1"/>
  <c r="AO1145" i="1" a="1"/>
  <c r="AO1145" i="1" s="1"/>
  <c r="AO1146" i="1" a="1"/>
  <c r="AO1146" i="1"/>
  <c r="AO1147" i="1" a="1"/>
  <c r="AO1147" i="1" s="1"/>
  <c r="AO1148" i="1" a="1"/>
  <c r="AO1148" i="1" s="1"/>
  <c r="AO1149" i="1" a="1"/>
  <c r="AO1149" i="1"/>
  <c r="AO1150" i="1" a="1"/>
  <c r="AO1150" i="1" s="1"/>
  <c r="AO1151" i="1" a="1"/>
  <c r="AO1151" i="1" s="1"/>
  <c r="AO1152" i="1" a="1"/>
  <c r="AO1152" i="1" s="1"/>
  <c r="AO1153" i="1" a="1"/>
  <c r="AO1153" i="1" s="1"/>
  <c r="AO1154" i="1" a="1"/>
  <c r="AO1154" i="1" s="1"/>
  <c r="AO1155" i="1" a="1"/>
  <c r="AO1155" i="1" s="1"/>
  <c r="AO1156" i="1" a="1"/>
  <c r="AO1156" i="1" s="1"/>
  <c r="AO1157" i="1" a="1"/>
  <c r="AO1157" i="1"/>
  <c r="AO1158" i="1" a="1"/>
  <c r="AO1158" i="1"/>
  <c r="AO1159" i="1" a="1"/>
  <c r="AO1159" i="1" s="1"/>
  <c r="AO1160" i="1" a="1"/>
  <c r="AO1160" i="1" s="1"/>
  <c r="AO1161" i="1" a="1"/>
  <c r="AO1161" i="1" s="1"/>
  <c r="AO1162" i="1" a="1"/>
  <c r="AO1162" i="1" s="1"/>
  <c r="AO1163" i="1" a="1"/>
  <c r="AO1163" i="1" s="1"/>
  <c r="AO1164" i="1" a="1"/>
  <c r="AO1164" i="1"/>
  <c r="AO1165" i="1" a="1"/>
  <c r="AO1165" i="1"/>
  <c r="AO1166" i="1" a="1"/>
  <c r="AO1166" i="1" s="1"/>
  <c r="AO1167" i="1" a="1"/>
  <c r="AO1167" i="1"/>
  <c r="AO1168" i="1" a="1"/>
  <c r="AO1168" i="1" s="1"/>
  <c r="AO1169" i="1" a="1"/>
  <c r="AO1169" i="1" s="1"/>
  <c r="AO1170" i="1" a="1"/>
  <c r="AO1170" i="1" s="1"/>
  <c r="AO1171" i="1" a="1"/>
  <c r="AO1171" i="1" s="1"/>
  <c r="AO1172" i="1" a="1"/>
  <c r="AO1172" i="1"/>
  <c r="AO1173" i="1" a="1"/>
  <c r="AO1173" i="1" s="1"/>
  <c r="AO1174" i="1" a="1"/>
  <c r="AO1174" i="1" s="1"/>
  <c r="AO1175" i="1" a="1"/>
  <c r="AO1175" i="1" s="1"/>
  <c r="AO1176" i="1" a="1"/>
  <c r="AO1176" i="1" s="1"/>
  <c r="AO1177" i="1" a="1"/>
  <c r="AO1177" i="1" s="1"/>
  <c r="AO1178" i="1" a="1"/>
  <c r="AO1178" i="1" s="1"/>
  <c r="AO1179" i="1" a="1"/>
  <c r="AO1179" i="1"/>
  <c r="AO1180" i="1" a="1"/>
  <c r="AO1180" i="1" s="1"/>
  <c r="AO1181" i="1" a="1"/>
  <c r="AO1181" i="1" s="1"/>
  <c r="AO1182" i="1" a="1"/>
  <c r="AO1182" i="1"/>
  <c r="AO1183" i="1" a="1"/>
  <c r="AO1183" i="1"/>
  <c r="AO1184" i="1" a="1"/>
  <c r="AO1184" i="1" s="1"/>
  <c r="AO1185" i="1" a="1"/>
  <c r="AO1185" i="1" s="1"/>
  <c r="AO1186" i="1" a="1"/>
  <c r="AO1186" i="1" s="1"/>
  <c r="AO1187" i="1" a="1"/>
  <c r="AO1187" i="1"/>
  <c r="AO1188" i="1" a="1"/>
  <c r="AO1188" i="1" s="1"/>
  <c r="AO1189" i="1" a="1"/>
  <c r="AO1189" i="1" s="1"/>
  <c r="AO1190" i="1" a="1"/>
  <c r="AO1190" i="1" s="1"/>
  <c r="AO1191" i="1" a="1"/>
  <c r="AO1191" i="1"/>
  <c r="AO1192" i="1" a="1"/>
  <c r="AO1192" i="1" s="1"/>
  <c r="AO1193" i="1" a="1"/>
  <c r="AO1193" i="1" s="1"/>
  <c r="AO1194" i="1" a="1"/>
  <c r="AO1194" i="1" s="1"/>
  <c r="AO1195" i="1" a="1"/>
  <c r="AO1195" i="1" s="1"/>
  <c r="AO1196" i="1" a="1"/>
  <c r="AO1196" i="1"/>
  <c r="AO1197" i="1" a="1"/>
  <c r="AO1197" i="1"/>
  <c r="AO1198" i="1" a="1"/>
  <c r="AO1198" i="1" s="1"/>
  <c r="AO1199" i="1" a="1"/>
  <c r="AO1199" i="1"/>
  <c r="AO1200" i="1" a="1"/>
  <c r="AO1200" i="1"/>
  <c r="AO1201" i="1" a="1"/>
  <c r="AO1201" i="1" s="1"/>
  <c r="AO1202" i="1" a="1"/>
  <c r="AO1202" i="1" s="1"/>
  <c r="AO1203" i="1" a="1"/>
  <c r="AO1203" i="1" s="1"/>
  <c r="AO1204" i="1" a="1"/>
  <c r="AO1204" i="1" s="1"/>
  <c r="AO1205" i="1" a="1"/>
  <c r="AO1205" i="1"/>
  <c r="AO1206" i="1" a="1"/>
  <c r="AO1206" i="1" s="1"/>
  <c r="AO1207" i="1" a="1"/>
  <c r="AO1207" i="1" s="1"/>
  <c r="AO1208" i="1" a="1"/>
  <c r="AO1208" i="1"/>
  <c r="AO1209" i="1" a="1"/>
  <c r="AO1209" i="1" s="1"/>
  <c r="AO1210" i="1" a="1"/>
  <c r="AO1210" i="1" s="1"/>
  <c r="AO1211" i="1" a="1"/>
  <c r="AO1211" i="1" s="1"/>
  <c r="AO1212" i="1" a="1"/>
  <c r="AO1212" i="1" s="1"/>
  <c r="AO1213" i="1" a="1"/>
  <c r="AO1213" i="1"/>
  <c r="AO1214" i="1" a="1"/>
  <c r="AO1214" i="1" s="1"/>
  <c r="AO1215" i="1" a="1"/>
  <c r="AO1215" i="1" s="1"/>
  <c r="AO1216" i="1" a="1"/>
  <c r="AO1216" i="1" s="1"/>
  <c r="AO1217" i="1" a="1"/>
  <c r="AO1217" i="1" s="1"/>
  <c r="AO1218" i="1" a="1"/>
  <c r="AO1218" i="1" s="1"/>
  <c r="AO1219" i="1" a="1"/>
  <c r="AO1219" i="1" s="1"/>
  <c r="AO1220" i="1" a="1"/>
  <c r="AO1220" i="1" s="1"/>
  <c r="AO1221" i="1" a="1"/>
  <c r="AO1221" i="1"/>
  <c r="AO1222" i="1" a="1"/>
  <c r="AO1222" i="1" s="1"/>
  <c r="AO1223" i="1" a="1"/>
  <c r="AO1223" i="1"/>
  <c r="AO1224" i="1" a="1"/>
  <c r="AO1224" i="1" s="1"/>
  <c r="AO1225" i="1" a="1"/>
  <c r="AO1225" i="1"/>
  <c r="AO1226" i="1" a="1"/>
  <c r="AO1226" i="1" s="1"/>
  <c r="AO1227" i="1" a="1"/>
  <c r="AO1227" i="1" s="1"/>
  <c r="AO1228" i="1" a="1"/>
  <c r="AO1228" i="1" s="1"/>
  <c r="AO1229" i="1" a="1"/>
  <c r="AO1229" i="1"/>
  <c r="AO1230" i="1" a="1"/>
  <c r="AO1230" i="1" s="1"/>
  <c r="AO1231" i="1" a="1"/>
  <c r="AO1231" i="1" s="1"/>
  <c r="AO1232" i="1" a="1"/>
  <c r="AO1232" i="1" s="1"/>
  <c r="AO1233" i="1" a="1"/>
  <c r="AO1233" i="1" s="1"/>
  <c r="AO1234" i="1" a="1"/>
  <c r="AO1234" i="1" s="1"/>
  <c r="AO1235" i="1" a="1"/>
  <c r="AO1235" i="1" s="1"/>
  <c r="AO1236" i="1" a="1"/>
  <c r="AO1236" i="1" s="1"/>
  <c r="AO1237" i="1" a="1"/>
  <c r="AO1237" i="1" s="1"/>
  <c r="AO1238" i="1" a="1"/>
  <c r="AO1238" i="1"/>
  <c r="AO1239" i="1" a="1"/>
  <c r="AO1239" i="1"/>
  <c r="AO1240" i="1" a="1"/>
  <c r="AO1240" i="1" s="1"/>
  <c r="AO1241" i="1" a="1"/>
  <c r="AO1241" i="1"/>
  <c r="AO1242" i="1" a="1"/>
  <c r="AO1242" i="1"/>
  <c r="AO1243" i="1" a="1"/>
  <c r="AO1243" i="1" s="1"/>
  <c r="AO1244" i="1" a="1"/>
  <c r="AO1244" i="1" s="1"/>
  <c r="AO1245" i="1" a="1"/>
  <c r="AO1245" i="1" s="1"/>
  <c r="AO1246" i="1" a="1"/>
  <c r="AO1246" i="1" s="1"/>
  <c r="AO1247" i="1" a="1"/>
  <c r="AO1247" i="1" s="1"/>
  <c r="AO1248" i="1" a="1"/>
  <c r="AO1248" i="1" s="1"/>
  <c r="AO1249" i="1" a="1"/>
  <c r="AO1249" i="1" s="1"/>
  <c r="AO1250" i="1" a="1"/>
  <c r="AO1250" i="1" s="1"/>
  <c r="AO1251" i="1" a="1"/>
  <c r="AO1251" i="1" s="1"/>
  <c r="AO1252" i="1" a="1"/>
  <c r="AO1252" i="1" s="1"/>
  <c r="AO1253" i="1" a="1"/>
  <c r="AO1253" i="1" s="1"/>
  <c r="AO1254" i="1" a="1"/>
  <c r="AO1254" i="1"/>
  <c r="AO1255" i="1" a="1"/>
  <c r="AO1255" i="1"/>
  <c r="AO1256" i="1" a="1"/>
  <c r="AO1256" i="1"/>
  <c r="AO1257" i="1" a="1"/>
  <c r="AO1257" i="1" s="1"/>
  <c r="AO1258" i="1" a="1"/>
  <c r="AO1258" i="1" s="1"/>
  <c r="AO1259" i="1" a="1"/>
  <c r="AO1259" i="1" s="1"/>
  <c r="AO1260" i="1" a="1"/>
  <c r="AO1260" i="1" s="1"/>
  <c r="AO1261" i="1" a="1"/>
  <c r="AO1261" i="1" s="1"/>
  <c r="AO1262" i="1" a="1"/>
  <c r="AO1262" i="1" s="1"/>
  <c r="AO1263" i="1" a="1"/>
  <c r="AO1263" i="1" s="1"/>
  <c r="AO1264" i="1" a="1"/>
  <c r="AO1264" i="1" s="1"/>
  <c r="AO1265" i="1" a="1"/>
  <c r="AO1265" i="1" s="1"/>
  <c r="AO1266" i="1" a="1"/>
  <c r="AO1266" i="1" s="1"/>
  <c r="AO1267" i="1" a="1"/>
  <c r="AO1267" i="1"/>
  <c r="AO1268" i="1" a="1"/>
  <c r="AO1268" i="1" s="1"/>
  <c r="AO1269" i="1" a="1"/>
  <c r="AO1269" i="1" s="1"/>
  <c r="AO1270" i="1" a="1"/>
  <c r="AO1270" i="1" s="1"/>
  <c r="AO1271" i="1" a="1"/>
  <c r="AO1271" i="1" s="1"/>
  <c r="AO1272" i="1" a="1"/>
  <c r="AO1272" i="1" s="1"/>
  <c r="AO1273" i="1" a="1"/>
  <c r="AO1273" i="1" s="1"/>
  <c r="AO1274" i="1" a="1"/>
  <c r="AO1274" i="1" s="1"/>
  <c r="AO1275" i="1" a="1"/>
  <c r="AO1275" i="1" s="1"/>
  <c r="AO1276" i="1" a="1"/>
  <c r="AO1276" i="1" s="1"/>
  <c r="AO1277" i="1" a="1"/>
  <c r="AO1277" i="1" s="1"/>
  <c r="AO1278" i="1" a="1"/>
  <c r="AO1278" i="1" s="1"/>
  <c r="AO1279" i="1" a="1"/>
  <c r="AO1279" i="1" s="1"/>
  <c r="AO1280" i="1" a="1"/>
  <c r="AO1280" i="1"/>
  <c r="AO1281" i="1" a="1"/>
  <c r="AO1281" i="1" s="1"/>
  <c r="AO1282" i="1" a="1"/>
  <c r="AO1282" i="1" s="1"/>
  <c r="AO1283" i="1" a="1"/>
  <c r="AO1283" i="1" s="1"/>
  <c r="AO1284" i="1" a="1"/>
  <c r="AO1284" i="1"/>
  <c r="AO1285" i="1" a="1"/>
  <c r="AO1285" i="1" s="1"/>
  <c r="AO1286" i="1" a="1"/>
  <c r="AO1286" i="1" s="1"/>
  <c r="AO1287" i="1" a="1"/>
  <c r="AO1287" i="1" s="1"/>
  <c r="AO1288" i="1" a="1"/>
  <c r="AO1288" i="1" s="1"/>
  <c r="AO1289" i="1" a="1"/>
  <c r="AO1289" i="1"/>
  <c r="AO1290" i="1" a="1"/>
  <c r="AO1290" i="1" s="1"/>
  <c r="AO1291" i="1" a="1"/>
  <c r="AO1291" i="1" s="1"/>
  <c r="AO1292" i="1" a="1"/>
  <c r="AO1292" i="1" s="1"/>
  <c r="AO1293" i="1" a="1"/>
  <c r="AO1293" i="1"/>
  <c r="AO1294" i="1" a="1"/>
  <c r="AO1294" i="1" s="1"/>
  <c r="AO1295" i="1" a="1"/>
  <c r="AO1295" i="1" s="1"/>
  <c r="AO1296" i="1" a="1"/>
  <c r="AO1296" i="1"/>
  <c r="AO1297" i="1" a="1"/>
  <c r="AO1297" i="1"/>
  <c r="AO1298" i="1" a="1"/>
  <c r="AO1298" i="1"/>
  <c r="AO1299" i="1" a="1"/>
  <c r="AO1299" i="1" s="1"/>
  <c r="AO1300" i="1" a="1"/>
  <c r="AO1300" i="1" s="1"/>
  <c r="AO1301" i="1" a="1"/>
  <c r="AO1301" i="1" s="1"/>
  <c r="AO1302" i="1" a="1"/>
  <c r="AO1302" i="1" s="1"/>
  <c r="AO1303" i="1" a="1"/>
  <c r="AO1303" i="1" s="1"/>
  <c r="AO1304" i="1" a="1"/>
  <c r="AO1304" i="1" s="1"/>
  <c r="AO1305" i="1" a="1"/>
  <c r="AO1305" i="1" s="1"/>
  <c r="AO1306" i="1" a="1"/>
  <c r="AO1306" i="1" s="1"/>
  <c r="AO1307" i="1" a="1"/>
  <c r="AO1307" i="1" s="1"/>
  <c r="AO1308" i="1" a="1"/>
  <c r="AO1308" i="1"/>
  <c r="AO1309" i="1" a="1"/>
  <c r="AO1309" i="1" s="1"/>
  <c r="AO1310" i="1" a="1"/>
  <c r="AO1310" i="1" s="1"/>
  <c r="AO1311" i="1" a="1"/>
  <c r="AO1311" i="1" s="1"/>
  <c r="AO1312" i="1" a="1"/>
  <c r="AO1312" i="1" s="1"/>
  <c r="AO1313" i="1" a="1"/>
  <c r="AO1313" i="1" s="1"/>
  <c r="AO1314" i="1" a="1"/>
  <c r="AO1314" i="1"/>
  <c r="AO1315" i="1" a="1"/>
  <c r="AO1315" i="1"/>
  <c r="AO1316" i="1" a="1"/>
  <c r="AO1316" i="1" s="1"/>
  <c r="AO1317" i="1" a="1"/>
  <c r="AO1317" i="1" s="1"/>
  <c r="AO1318" i="1" a="1"/>
  <c r="AO1318" i="1" s="1"/>
  <c r="AO1319" i="1" a="1"/>
  <c r="AO1319" i="1" s="1"/>
  <c r="AO1320" i="1" a="1"/>
  <c r="AO1320" i="1" s="1"/>
  <c r="AO1321" i="1" a="1"/>
  <c r="AO1321" i="1" s="1"/>
  <c r="AO1322" i="1" a="1"/>
  <c r="AO1322" i="1"/>
  <c r="AO1323" i="1" a="1"/>
  <c r="AO1323" i="1"/>
  <c r="AO1324" i="1" a="1"/>
  <c r="AO1324" i="1" s="1"/>
  <c r="AO1325" i="1" a="1"/>
  <c r="AO1325" i="1" s="1"/>
  <c r="AO1326" i="1" a="1"/>
  <c r="AO1326" i="1"/>
  <c r="AO1327" i="1" a="1"/>
  <c r="AO1327" i="1" s="1"/>
  <c r="AO1328" i="1" a="1"/>
  <c r="AO1328" i="1" s="1"/>
  <c r="AO1329" i="1" a="1"/>
  <c r="AO1329" i="1"/>
  <c r="AO1330" i="1" a="1"/>
  <c r="AO1330" i="1" s="1"/>
  <c r="AO1331" i="1" a="1"/>
  <c r="AO1331" i="1"/>
  <c r="AO1332" i="1" a="1"/>
  <c r="AO1332" i="1" s="1"/>
  <c r="AO1333" i="1" a="1"/>
  <c r="AO1333" i="1" s="1"/>
  <c r="AO1334" i="1" a="1"/>
  <c r="AO1334" i="1"/>
  <c r="AO1335" i="1" a="1"/>
  <c r="AO1335" i="1" s="1"/>
  <c r="AO1336" i="1" a="1"/>
  <c r="AO1336" i="1" s="1"/>
  <c r="AO1337" i="1" a="1"/>
  <c r="AO1337" i="1" s="1"/>
  <c r="AO1338" i="1" a="1"/>
  <c r="AO1338" i="1" s="1"/>
  <c r="AO1339" i="1" a="1"/>
  <c r="AO1339" i="1" s="1"/>
  <c r="AO1340" i="1" a="1"/>
  <c r="AO1340" i="1"/>
  <c r="AO1341" i="1" a="1"/>
  <c r="AO1341" i="1" s="1"/>
  <c r="AO1342" i="1" a="1"/>
  <c r="AO1342" i="1" s="1"/>
  <c r="AO1343" i="1" a="1"/>
  <c r="AO1343" i="1" s="1"/>
  <c r="AO1344" i="1" a="1"/>
  <c r="AO1344" i="1" s="1"/>
  <c r="AO1345" i="1" a="1"/>
  <c r="AO1345" i="1" s="1"/>
  <c r="AO1346" i="1" a="1"/>
  <c r="AO1346" i="1" s="1"/>
  <c r="AO1347" i="1" a="1"/>
  <c r="AO1347" i="1" s="1"/>
  <c r="AO1348" i="1" a="1"/>
  <c r="AO1348" i="1" s="1"/>
  <c r="AO1349" i="1" a="1"/>
  <c r="AO1349" i="1" s="1"/>
  <c r="AO1350" i="1" a="1"/>
  <c r="AO1350" i="1" s="1"/>
  <c r="AO1351" i="1" a="1"/>
  <c r="AO1351" i="1"/>
  <c r="AO1352" i="1" a="1"/>
  <c r="AO1352" i="1"/>
  <c r="AO1353" i="1" a="1"/>
  <c r="AO1353" i="1" s="1"/>
  <c r="AO1354" i="1" a="1"/>
  <c r="AO1354" i="1" s="1"/>
  <c r="AO1355" i="1" a="1"/>
  <c r="AO1355" i="1"/>
  <c r="AO1356" i="1" a="1"/>
  <c r="AO1356" i="1" s="1"/>
  <c r="AO1357" i="1" a="1"/>
  <c r="AO1357" i="1" s="1"/>
  <c r="AO1358" i="1" a="1"/>
  <c r="AO1358" i="1" s="1"/>
  <c r="AO1359" i="1" a="1"/>
  <c r="AO1359" i="1" s="1"/>
  <c r="AO1360" i="1" a="1"/>
  <c r="AO1360" i="1" s="1"/>
  <c r="AO1361" i="1" a="1"/>
  <c r="AO1361" i="1" s="1"/>
  <c r="AO1362" i="1" a="1"/>
  <c r="AO1362" i="1" s="1"/>
  <c r="AO1363" i="1" a="1"/>
  <c r="AO1363" i="1" s="1"/>
  <c r="AO1364" i="1" a="1"/>
  <c r="AO1364" i="1"/>
  <c r="AO1365" i="1" a="1"/>
  <c r="AO1365" i="1"/>
  <c r="AO1366" i="1" a="1"/>
  <c r="AO1366" i="1" s="1"/>
  <c r="AO1367" i="1" a="1"/>
  <c r="AO1367" i="1"/>
  <c r="AO1368" i="1" a="1"/>
  <c r="AO1368" i="1" s="1"/>
  <c r="AO1369" i="1" a="1"/>
  <c r="AO1369" i="1" s="1"/>
  <c r="AO1370" i="1" a="1"/>
  <c r="AO1370" i="1"/>
  <c r="AO1371" i="1" a="1"/>
  <c r="AO1371" i="1" s="1"/>
  <c r="AO1372" i="1" a="1"/>
  <c r="AO1372" i="1" s="1"/>
  <c r="AO1373" i="1" a="1"/>
  <c r="AO1373" i="1"/>
  <c r="AO1374" i="1" a="1"/>
  <c r="AO1374" i="1" s="1"/>
  <c r="AO1375" i="1" a="1"/>
  <c r="AO1375" i="1" s="1"/>
  <c r="AO1376" i="1" a="1"/>
  <c r="AO1376" i="1" s="1"/>
  <c r="AO1377" i="1" a="1"/>
  <c r="AO1377" i="1" s="1"/>
  <c r="AO1378" i="1" a="1"/>
  <c r="AO1378" i="1" s="1"/>
  <c r="AO1379" i="1" a="1"/>
  <c r="AO1379" i="1" s="1"/>
  <c r="AO1380" i="1" a="1"/>
  <c r="AO1380" i="1"/>
  <c r="AO1381" i="1" a="1"/>
  <c r="AO1381" i="1" s="1"/>
  <c r="AO1382" i="1" a="1"/>
  <c r="AO1382" i="1"/>
  <c r="AO1383" i="1" a="1"/>
  <c r="AO1383" i="1" s="1"/>
  <c r="AO1384" i="1" a="1"/>
  <c r="AO1384" i="1" s="1"/>
  <c r="AO1385" i="1" a="1"/>
  <c r="AO1385" i="1" s="1"/>
  <c r="AO1386" i="1" a="1"/>
  <c r="AO1386" i="1" s="1"/>
  <c r="AO1387" i="1" a="1"/>
  <c r="AO1387" i="1"/>
  <c r="AO1388" i="1" a="1"/>
  <c r="AO1388" i="1" s="1"/>
  <c r="AO1389" i="1" a="1"/>
  <c r="AO1389" i="1" s="1"/>
  <c r="AO1390" i="1" a="1"/>
  <c r="AO1390" i="1" s="1"/>
  <c r="AO1391" i="1" a="1"/>
  <c r="AO1391" i="1"/>
  <c r="AO1392" i="1" a="1"/>
  <c r="AO1392" i="1" s="1"/>
  <c r="AO1393" i="1" a="1"/>
  <c r="AO1393" i="1" s="1"/>
  <c r="AO1394" i="1" a="1"/>
  <c r="AO1394" i="1" s="1"/>
  <c r="AO1395" i="1" a="1"/>
  <c r="AO1395" i="1"/>
  <c r="AO1396" i="1" a="1"/>
  <c r="AO1396" i="1" s="1"/>
  <c r="AO1397" i="1" a="1"/>
  <c r="AO1397" i="1" s="1"/>
  <c r="AO1398" i="1" a="1"/>
  <c r="AO1398" i="1" s="1"/>
  <c r="AO1399" i="1" a="1"/>
  <c r="AO1399" i="1"/>
  <c r="AO1400" i="1" a="1"/>
  <c r="AO1400" i="1"/>
  <c r="AO1401" i="1" a="1"/>
  <c r="AO1401" i="1" s="1"/>
  <c r="AO1402" i="1" a="1"/>
  <c r="AO1402" i="1" s="1"/>
  <c r="AO1403" i="1" a="1"/>
  <c r="AO1403" i="1" s="1"/>
  <c r="AO1404" i="1" a="1"/>
  <c r="AO1404" i="1"/>
  <c r="AO1405" i="1" a="1"/>
  <c r="AO1405" i="1"/>
  <c r="AO1406" i="1" a="1"/>
  <c r="AO1406" i="1"/>
  <c r="AO1407" i="1" a="1"/>
  <c r="AO1407" i="1" s="1"/>
  <c r="AO1408" i="1" a="1"/>
  <c r="AO1408" i="1" s="1"/>
  <c r="AO1409" i="1" a="1"/>
  <c r="AO1409" i="1" s="1"/>
  <c r="AO1410" i="1" a="1"/>
  <c r="AO1410" i="1" s="1"/>
  <c r="AO1411" i="1" a="1"/>
  <c r="AO1411" i="1" s="1"/>
  <c r="AO1412" i="1" a="1"/>
  <c r="AO1412" i="1"/>
  <c r="AO1413" i="1" a="1"/>
  <c r="AO1413" i="1"/>
  <c r="AO1414" i="1" a="1"/>
  <c r="AO1414" i="1" s="1"/>
  <c r="AO1415" i="1" a="1"/>
  <c r="AO1415" i="1"/>
  <c r="AO1416" i="1" a="1"/>
  <c r="AO1416" i="1" s="1"/>
  <c r="AO1417" i="1" a="1"/>
  <c r="AO1417" i="1" s="1"/>
  <c r="AO1418" i="1" a="1"/>
  <c r="AO1418" i="1" s="1"/>
  <c r="AO1419" i="1" a="1"/>
  <c r="AO1419" i="1" s="1"/>
  <c r="AO1420" i="1" a="1"/>
  <c r="AO1420" i="1" s="1"/>
  <c r="AO1421" i="1" a="1"/>
  <c r="AO1421" i="1" s="1"/>
  <c r="AO1422" i="1" a="1"/>
  <c r="AO1422" i="1" s="1"/>
  <c r="AO1423" i="1" a="1"/>
  <c r="AO1423" i="1"/>
  <c r="AO1424" i="1" a="1"/>
  <c r="AO1424" i="1" s="1"/>
  <c r="AO1425" i="1" a="1"/>
  <c r="AO1425" i="1" s="1"/>
  <c r="AO1426" i="1" a="1"/>
  <c r="AO1426" i="1" s="1"/>
  <c r="AO1427" i="1" a="1"/>
  <c r="AO1427" i="1" s="1"/>
  <c r="AO1428" i="1" a="1"/>
  <c r="AO1428" i="1"/>
  <c r="AO1429" i="1" a="1"/>
  <c r="AO1429" i="1" s="1"/>
  <c r="AO1430" i="1" a="1"/>
  <c r="AO1430" i="1"/>
  <c r="AO1431" i="1" a="1"/>
  <c r="AO1431" i="1" s="1"/>
  <c r="AO1432" i="1" a="1"/>
  <c r="AO1432" i="1" s="1"/>
  <c r="AO1433" i="1" a="1"/>
  <c r="AO1433" i="1" s="1"/>
  <c r="AO1434" i="1" a="1"/>
  <c r="AO1434" i="1" s="1"/>
  <c r="AO1435" i="1" a="1"/>
  <c r="AO1435" i="1" s="1"/>
  <c r="AO1436" i="1" a="1"/>
  <c r="AO1436" i="1"/>
  <c r="AO1437" i="1" a="1"/>
  <c r="AO1437" i="1" s="1"/>
  <c r="AO1438" i="1" a="1"/>
  <c r="AO1438" i="1" s="1"/>
  <c r="AO1439" i="1" a="1"/>
  <c r="AO1439" i="1" s="1"/>
  <c r="AO1440" i="1" a="1"/>
  <c r="AO1440" i="1" s="1"/>
  <c r="AO1441" i="1" a="1"/>
  <c r="AO1441" i="1"/>
  <c r="AO1442" i="1" a="1"/>
  <c r="AO1442" i="1" s="1"/>
  <c r="AO1443" i="1" a="1"/>
  <c r="AO1443" i="1"/>
  <c r="AO1444" i="1" a="1"/>
  <c r="AO1444" i="1" s="1"/>
  <c r="AO1445" i="1" a="1"/>
  <c r="AO1445" i="1"/>
  <c r="AO1446" i="1" a="1"/>
  <c r="AO1446" i="1" s="1"/>
  <c r="AO1447" i="1" a="1"/>
  <c r="AO1447" i="1"/>
  <c r="AO1448" i="1" a="1"/>
  <c r="AO1448" i="1" s="1"/>
  <c r="AO1449" i="1" a="1"/>
  <c r="AO1449" i="1" s="1"/>
  <c r="AO1450" i="1" a="1"/>
  <c r="AO1450" i="1" s="1"/>
  <c r="AO1451" i="1" a="1"/>
  <c r="AO1451" i="1" s="1"/>
  <c r="AO1452" i="1" a="1"/>
  <c r="AO1452" i="1" s="1"/>
  <c r="AO1453" i="1" a="1"/>
  <c r="AO1453" i="1" s="1"/>
  <c r="AO1454" i="1" a="1"/>
  <c r="AO1454" i="1"/>
  <c r="AO1455" i="1" a="1"/>
  <c r="AO1455" i="1" s="1"/>
  <c r="AO1456" i="1" a="1"/>
  <c r="AO1456" i="1" s="1"/>
  <c r="AO1457" i="1" a="1"/>
  <c r="AO1457" i="1" s="1"/>
  <c r="AO1458" i="1" a="1"/>
  <c r="AO1458" i="1" s="1"/>
  <c r="AO1459" i="1" a="1"/>
  <c r="AO1459" i="1"/>
  <c r="AO1460" i="1" a="1"/>
  <c r="AO1460" i="1" s="1"/>
  <c r="AO1461" i="1" a="1"/>
  <c r="AO1461" i="1" s="1"/>
  <c r="AO1462" i="1" a="1"/>
  <c r="AO1462" i="1" s="1"/>
  <c r="AO1463" i="1" a="1"/>
  <c r="AO1463" i="1"/>
  <c r="AO1464" i="1" a="1"/>
  <c r="AO1464" i="1" s="1"/>
  <c r="AO1465" i="1" a="1"/>
  <c r="AO1465" i="1" s="1"/>
  <c r="AO1466" i="1" a="1"/>
  <c r="AO1466" i="1" s="1"/>
  <c r="AO1467" i="1" a="1"/>
  <c r="AO1467" i="1"/>
  <c r="AO1468" i="1" a="1"/>
  <c r="AO1468" i="1" s="1"/>
  <c r="AO1469" i="1" a="1"/>
  <c r="AO1469" i="1"/>
  <c r="AO1470" i="1" a="1"/>
  <c r="AO1470" i="1" s="1"/>
  <c r="AO1471" i="1" a="1"/>
  <c r="AO1471" i="1"/>
  <c r="AO2" i="1" a="1"/>
  <c r="AO2" i="1" s="1"/>
  <c r="AN3" i="1" a="1"/>
  <c r="AN3" i="1" s="1"/>
  <c r="AN4" i="1" a="1"/>
  <c r="AN4" i="1" s="1"/>
  <c r="AN5" i="1" a="1"/>
  <c r="AN5" i="1" s="1"/>
  <c r="AN6" i="1" a="1"/>
  <c r="AN6" i="1"/>
  <c r="AN7" i="1" a="1"/>
  <c r="AN7" i="1" s="1"/>
  <c r="AN8" i="1" a="1"/>
  <c r="AN8" i="1"/>
  <c r="AN9" i="1" a="1"/>
  <c r="AN9" i="1" s="1"/>
  <c r="AN10" i="1" a="1"/>
  <c r="AN10" i="1" s="1"/>
  <c r="AN11" i="1" a="1"/>
  <c r="AN11" i="1"/>
  <c r="AN12" i="1" a="1"/>
  <c r="AN12" i="1" s="1"/>
  <c r="AN13" i="1" a="1"/>
  <c r="AN13" i="1" s="1"/>
  <c r="AN14" i="1" a="1"/>
  <c r="AN14" i="1"/>
  <c r="AN15" i="1" a="1"/>
  <c r="AN15" i="1" s="1"/>
  <c r="AN16" i="1" a="1"/>
  <c r="AN16" i="1" s="1"/>
  <c r="AN17" i="1" a="1"/>
  <c r="AN17" i="1" s="1"/>
  <c r="AN18" i="1" a="1"/>
  <c r="AN18" i="1"/>
  <c r="AN19" i="1" a="1"/>
  <c r="AN19" i="1"/>
  <c r="AN20" i="1" a="1"/>
  <c r="AN20" i="1" s="1"/>
  <c r="AN21" i="1" a="1"/>
  <c r="AN21" i="1" s="1"/>
  <c r="AN22" i="1" a="1"/>
  <c r="AN22" i="1"/>
  <c r="AN23" i="1" a="1"/>
  <c r="AN23" i="1"/>
  <c r="AN24" i="1" a="1"/>
  <c r="AN24" i="1" s="1"/>
  <c r="AN25" i="1" a="1"/>
  <c r="AN25" i="1"/>
  <c r="AN26" i="1" a="1"/>
  <c r="AN26" i="1"/>
  <c r="AN27" i="1" a="1"/>
  <c r="AN27" i="1" s="1"/>
  <c r="AN28" i="1" a="1"/>
  <c r="AN28" i="1" s="1"/>
  <c r="AN29" i="1" a="1"/>
  <c r="AN29" i="1" s="1"/>
  <c r="AN30" i="1" a="1"/>
  <c r="AN30" i="1"/>
  <c r="AN31" i="1" a="1"/>
  <c r="AN31" i="1" s="1"/>
  <c r="AN32" i="1" a="1"/>
  <c r="AN32" i="1"/>
  <c r="AN33" i="1" a="1"/>
  <c r="AN33" i="1" s="1"/>
  <c r="AN34" i="1" a="1"/>
  <c r="AN34" i="1" s="1"/>
  <c r="AN35" i="1" a="1"/>
  <c r="AN35" i="1" s="1"/>
  <c r="AN36" i="1" a="1"/>
  <c r="AN36" i="1" s="1"/>
  <c r="AN37" i="1" a="1"/>
  <c r="AN37" i="1" s="1"/>
  <c r="AN38" i="1" a="1"/>
  <c r="AN38" i="1"/>
  <c r="AN39" i="1" a="1"/>
  <c r="AN39" i="1" s="1"/>
  <c r="AN40" i="1" a="1"/>
  <c r="AN40" i="1"/>
  <c r="AN41" i="1" a="1"/>
  <c r="AN41" i="1" s="1"/>
  <c r="AN42" i="1" a="1"/>
  <c r="AN42" i="1" s="1"/>
  <c r="AN43" i="1" a="1"/>
  <c r="AN43" i="1"/>
  <c r="AN44" i="1" a="1"/>
  <c r="AN44" i="1" s="1"/>
  <c r="AN45" i="1" a="1"/>
  <c r="AN45" i="1" s="1"/>
  <c r="AN46" i="1" a="1"/>
  <c r="AN46" i="1" s="1"/>
  <c r="AN47" i="1" a="1"/>
  <c r="AN47" i="1" s="1"/>
  <c r="AN48" i="1" a="1"/>
  <c r="AN48" i="1" s="1"/>
  <c r="AN49" i="1" a="1"/>
  <c r="AN49" i="1"/>
  <c r="AN50" i="1" a="1"/>
  <c r="AN50" i="1" s="1"/>
  <c r="AN51" i="1" a="1"/>
  <c r="AN51" i="1" s="1"/>
  <c r="AN52" i="1" a="1"/>
  <c r="AN52" i="1" s="1"/>
  <c r="AN53" i="1" a="1"/>
  <c r="AN53" i="1" s="1"/>
  <c r="AN54" i="1" a="1"/>
  <c r="AN54" i="1" s="1"/>
  <c r="AN55" i="1" a="1"/>
  <c r="AN55" i="1" s="1"/>
  <c r="AN56" i="1" a="1"/>
  <c r="AN56" i="1"/>
  <c r="AN57" i="1" a="1"/>
  <c r="AN57" i="1" s="1"/>
  <c r="AN58" i="1" a="1"/>
  <c r="AN58" i="1"/>
  <c r="AN59" i="1" a="1"/>
  <c r="AN59" i="1" s="1"/>
  <c r="AN60" i="1" a="1"/>
  <c r="AN60" i="1"/>
  <c r="AN61" i="1" a="1"/>
  <c r="AN61" i="1" s="1"/>
  <c r="AN62" i="1" a="1"/>
  <c r="AN62" i="1" s="1"/>
  <c r="AN63" i="1" a="1"/>
  <c r="AN63" i="1" s="1"/>
  <c r="AN64" i="1" a="1"/>
  <c r="AN64" i="1" s="1"/>
  <c r="AN65" i="1" a="1"/>
  <c r="AN65" i="1" s="1"/>
  <c r="AN66" i="1" a="1"/>
  <c r="AN66" i="1" s="1"/>
  <c r="AN67" i="1" a="1"/>
  <c r="AN67" i="1" s="1"/>
  <c r="AN68" i="1" a="1"/>
  <c r="AN68" i="1" s="1"/>
  <c r="AN69" i="1" a="1"/>
  <c r="AN69" i="1" s="1"/>
  <c r="AN70" i="1" a="1"/>
  <c r="AN70" i="1" s="1"/>
  <c r="AN71" i="1" a="1"/>
  <c r="AN71" i="1" s="1"/>
  <c r="AN72" i="1" a="1"/>
  <c r="AN72" i="1" s="1"/>
  <c r="AN73" i="1" a="1"/>
  <c r="AN73" i="1" s="1"/>
  <c r="AN74" i="1" a="1"/>
  <c r="AN74" i="1"/>
  <c r="AN75" i="1" a="1"/>
  <c r="AN75" i="1" s="1"/>
  <c r="AN76" i="1" a="1"/>
  <c r="AN76" i="1" s="1"/>
  <c r="AN77" i="1" a="1"/>
  <c r="AN77" i="1" s="1"/>
  <c r="AN78" i="1" a="1"/>
  <c r="AN78" i="1" s="1"/>
  <c r="AN79" i="1" a="1"/>
  <c r="AN79" i="1"/>
  <c r="AN80" i="1" a="1"/>
  <c r="AN80" i="1" s="1"/>
  <c r="AN81" i="1" a="1"/>
  <c r="AN81" i="1" s="1"/>
  <c r="AN82" i="1" a="1"/>
  <c r="AN82" i="1" s="1"/>
  <c r="AN83" i="1" a="1"/>
  <c r="AN83" i="1" s="1"/>
  <c r="AN84" i="1" a="1"/>
  <c r="AN84" i="1" s="1"/>
  <c r="AN85" i="1" a="1"/>
  <c r="AN85" i="1"/>
  <c r="AN86" i="1" a="1"/>
  <c r="AN86" i="1" s="1"/>
  <c r="AN87" i="1" a="1"/>
  <c r="AN87" i="1" s="1"/>
  <c r="AN88" i="1" a="1"/>
  <c r="AN88" i="1" s="1"/>
  <c r="AN89" i="1" a="1"/>
  <c r="AN89" i="1"/>
  <c r="AN90" i="1" a="1"/>
  <c r="AN90" i="1" s="1"/>
  <c r="AN91" i="1" a="1"/>
  <c r="AN91" i="1" s="1"/>
  <c r="AN92" i="1" a="1"/>
  <c r="AN92" i="1"/>
  <c r="AN93" i="1" a="1"/>
  <c r="AN93" i="1" s="1"/>
  <c r="AN94" i="1" a="1"/>
  <c r="AN94" i="1" s="1"/>
  <c r="AN95" i="1" a="1"/>
  <c r="AN95" i="1" s="1"/>
  <c r="AN96" i="1" a="1"/>
  <c r="AN96" i="1" s="1"/>
  <c r="AN97" i="1" a="1"/>
  <c r="AN97" i="1"/>
  <c r="AN98" i="1" a="1"/>
  <c r="AN98" i="1" s="1"/>
  <c r="AN99" i="1" a="1"/>
  <c r="AN99" i="1" s="1"/>
  <c r="AN100" i="1" a="1"/>
  <c r="AN100" i="1"/>
  <c r="AN101" i="1" a="1"/>
  <c r="AN101" i="1" s="1"/>
  <c r="AN102" i="1" a="1"/>
  <c r="AN102" i="1" s="1"/>
  <c r="AN103" i="1" a="1"/>
  <c r="AN103" i="1" s="1"/>
  <c r="AN104" i="1" a="1"/>
  <c r="AN104" i="1" s="1"/>
  <c r="AN105" i="1" a="1"/>
  <c r="AN105" i="1" s="1"/>
  <c r="AN106" i="1" a="1"/>
  <c r="AN106" i="1" s="1"/>
  <c r="AN107" i="1" a="1"/>
  <c r="AN107" i="1" s="1"/>
  <c r="AN108" i="1" a="1"/>
  <c r="AN108" i="1" s="1"/>
  <c r="AN109" i="1" a="1"/>
  <c r="AN109" i="1"/>
  <c r="AN110" i="1" a="1"/>
  <c r="AN110" i="1"/>
  <c r="AN111" i="1" a="1"/>
  <c r="AN111" i="1" s="1"/>
  <c r="AN112" i="1" a="1"/>
  <c r="AN112" i="1" s="1"/>
  <c r="AN113" i="1" a="1"/>
  <c r="AN113" i="1" s="1"/>
  <c r="AN114" i="1" a="1"/>
  <c r="AN114" i="1" s="1"/>
  <c r="AN115" i="1" a="1"/>
  <c r="AN115" i="1" s="1"/>
  <c r="AN116" i="1" a="1"/>
  <c r="AN116" i="1" s="1"/>
  <c r="AN117" i="1" a="1"/>
  <c r="AN117" i="1" s="1"/>
  <c r="AN118" i="1" a="1"/>
  <c r="AN118" i="1" s="1"/>
  <c r="AN119" i="1" a="1"/>
  <c r="AN119" i="1" s="1"/>
  <c r="AN120" i="1" a="1"/>
  <c r="AN120" i="1"/>
  <c r="AN121" i="1" a="1"/>
  <c r="AN121" i="1"/>
  <c r="AN122" i="1" a="1"/>
  <c r="AN122" i="1" s="1"/>
  <c r="AN123" i="1" a="1"/>
  <c r="AN123" i="1" s="1"/>
  <c r="AN124" i="1" a="1"/>
  <c r="AN124" i="1" s="1"/>
  <c r="AN125" i="1" a="1"/>
  <c r="AN125" i="1" s="1"/>
  <c r="AN126" i="1" a="1"/>
  <c r="AN126" i="1" s="1"/>
  <c r="AN127" i="1" a="1"/>
  <c r="AN127" i="1" s="1"/>
  <c r="AN128" i="1" a="1"/>
  <c r="AN128" i="1"/>
  <c r="AN129" i="1" a="1"/>
  <c r="AN129" i="1" s="1"/>
  <c r="AN130" i="1" a="1"/>
  <c r="AN130" i="1" s="1"/>
  <c r="AN131" i="1" a="1"/>
  <c r="AN131" i="1"/>
  <c r="AN132" i="1" a="1"/>
  <c r="AN132" i="1" s="1"/>
  <c r="AN133" i="1" a="1"/>
  <c r="AN133" i="1" s="1"/>
  <c r="AN134" i="1" a="1"/>
  <c r="AN134" i="1"/>
  <c r="AN135" i="1" a="1"/>
  <c r="AN135" i="1" s="1"/>
  <c r="AN136" i="1" a="1"/>
  <c r="AN136" i="1"/>
  <c r="AN137" i="1" a="1"/>
  <c r="AN137" i="1" s="1"/>
  <c r="AN138" i="1" a="1"/>
  <c r="AN138" i="1"/>
  <c r="AN139" i="1" a="1"/>
  <c r="AN139" i="1"/>
  <c r="AN140" i="1" a="1"/>
  <c r="AN140" i="1" s="1"/>
  <c r="AN141" i="1" a="1"/>
  <c r="AN141" i="1" s="1"/>
  <c r="AN142" i="1" a="1"/>
  <c r="AN142" i="1"/>
  <c r="AN143" i="1" a="1"/>
  <c r="AN143" i="1"/>
  <c r="AN144" i="1" a="1"/>
  <c r="AN144" i="1" s="1"/>
  <c r="AN145" i="1" a="1"/>
  <c r="AN145" i="1" s="1"/>
  <c r="AN146" i="1" a="1"/>
  <c r="AN146" i="1"/>
  <c r="AN147" i="1" a="1"/>
  <c r="AN147" i="1" s="1"/>
  <c r="AN148" i="1" a="1"/>
  <c r="AN148" i="1" s="1"/>
  <c r="AN149" i="1" a="1"/>
  <c r="AN149" i="1" s="1"/>
  <c r="AN150" i="1" a="1"/>
  <c r="AN150" i="1" s="1"/>
  <c r="AN151" i="1" a="1"/>
  <c r="AN151" i="1"/>
  <c r="AN152" i="1" a="1"/>
  <c r="AN152" i="1" s="1"/>
  <c r="AN153" i="1" a="1"/>
  <c r="AN153" i="1" s="1"/>
  <c r="AN154" i="1" a="1"/>
  <c r="AN154" i="1"/>
  <c r="AN155" i="1" a="1"/>
  <c r="AN155" i="1"/>
  <c r="AN156" i="1" a="1"/>
  <c r="AN156" i="1" s="1"/>
  <c r="AN157" i="1" a="1"/>
  <c r="AN157" i="1" s="1"/>
  <c r="AN158" i="1" a="1"/>
  <c r="AN158" i="1" s="1"/>
  <c r="AN159" i="1" a="1"/>
  <c r="AN159" i="1" s="1"/>
  <c r="AN160" i="1" a="1"/>
  <c r="AN160" i="1" s="1"/>
  <c r="AN161" i="1" a="1"/>
  <c r="AN161" i="1"/>
  <c r="AN162" i="1" a="1"/>
  <c r="AN162" i="1"/>
  <c r="AN163" i="1" a="1"/>
  <c r="AN163" i="1" s="1"/>
  <c r="AN164" i="1" a="1"/>
  <c r="AN164" i="1" s="1"/>
  <c r="AN165" i="1" a="1"/>
  <c r="AN165" i="1" s="1"/>
  <c r="AN166" i="1" a="1"/>
  <c r="AN166" i="1" s="1"/>
  <c r="AN167" i="1" a="1"/>
  <c r="AN167" i="1" s="1"/>
  <c r="AN168" i="1" a="1"/>
  <c r="AN168" i="1" s="1"/>
  <c r="AN169" i="1" a="1"/>
  <c r="AN169" i="1"/>
  <c r="AN170" i="1" a="1"/>
  <c r="AN170" i="1" s="1"/>
  <c r="AN171" i="1" a="1"/>
  <c r="AN171" i="1" s="1"/>
  <c r="AN172" i="1" a="1"/>
  <c r="AN172" i="1" s="1"/>
  <c r="AN173" i="1" a="1"/>
  <c r="AN173" i="1" s="1"/>
  <c r="AN174" i="1" a="1"/>
  <c r="AN174" i="1" s="1"/>
  <c r="AN175" i="1" a="1"/>
  <c r="AN175" i="1"/>
  <c r="AN176" i="1" a="1"/>
  <c r="AN176" i="1" s="1"/>
  <c r="AN177" i="1" a="1"/>
  <c r="AN177" i="1" s="1"/>
  <c r="AN178" i="1" a="1"/>
  <c r="AN178" i="1" s="1"/>
  <c r="AN179" i="1" a="1"/>
  <c r="AN179" i="1" s="1"/>
  <c r="AN180" i="1" a="1"/>
  <c r="AN180" i="1"/>
  <c r="AN181" i="1" a="1"/>
  <c r="AN181" i="1" s="1"/>
  <c r="AN182" i="1" a="1"/>
  <c r="AN182" i="1" s="1"/>
  <c r="AN183" i="1" a="1"/>
  <c r="AN183" i="1" s="1"/>
  <c r="AN184" i="1" a="1"/>
  <c r="AN184" i="1"/>
  <c r="AN185" i="1" a="1"/>
  <c r="AN185" i="1" s="1"/>
  <c r="AN186" i="1" a="1"/>
  <c r="AN186" i="1" s="1"/>
  <c r="AN187" i="1" a="1"/>
  <c r="AN187" i="1"/>
  <c r="AN188" i="1" a="1"/>
  <c r="AN188" i="1"/>
  <c r="AN189" i="1" a="1"/>
  <c r="AN189" i="1" s="1"/>
  <c r="AN190" i="1" a="1"/>
  <c r="AN190" i="1" s="1"/>
  <c r="AN191" i="1" a="1"/>
  <c r="AN191" i="1"/>
  <c r="AN192" i="1" a="1"/>
  <c r="AN192" i="1" s="1"/>
  <c r="AN193" i="1" a="1"/>
  <c r="AN193" i="1"/>
  <c r="AN194" i="1" a="1"/>
  <c r="AN194" i="1" s="1"/>
  <c r="AN195" i="1" a="1"/>
  <c r="AN195" i="1" s="1"/>
  <c r="AN196" i="1" a="1"/>
  <c r="AN196" i="1" s="1"/>
  <c r="AN197" i="1" a="1"/>
  <c r="AN197" i="1" s="1"/>
  <c r="AN198" i="1" a="1"/>
  <c r="AN198" i="1"/>
  <c r="AN199" i="1" a="1"/>
  <c r="AN199" i="1" s="1"/>
  <c r="AN200" i="1" a="1"/>
  <c r="AN200" i="1"/>
  <c r="AN201" i="1" a="1"/>
  <c r="AN201" i="1" s="1"/>
  <c r="AN202" i="1" a="1"/>
  <c r="AN202" i="1" s="1"/>
  <c r="AN203" i="1" a="1"/>
  <c r="AN203" i="1" s="1"/>
  <c r="AN204" i="1" a="1"/>
  <c r="AN204" i="1" s="1"/>
  <c r="AN205" i="1" a="1"/>
  <c r="AN205" i="1" s="1"/>
  <c r="AN206" i="1" a="1"/>
  <c r="AN206" i="1" s="1"/>
  <c r="AN207" i="1" a="1"/>
  <c r="AN207" i="1" s="1"/>
  <c r="AN208" i="1" a="1"/>
  <c r="AN208" i="1" s="1"/>
  <c r="AN209" i="1" a="1"/>
  <c r="AN209" i="1" s="1"/>
  <c r="AN210" i="1" a="1"/>
  <c r="AN210" i="1"/>
  <c r="AN211" i="1" a="1"/>
  <c r="AN211" i="1" s="1"/>
  <c r="AN212" i="1" a="1"/>
  <c r="AN212" i="1" s="1"/>
  <c r="AN213" i="1" a="1"/>
  <c r="AN213" i="1" s="1"/>
  <c r="AN214" i="1" a="1"/>
  <c r="AN214" i="1" s="1"/>
  <c r="AN215" i="1" a="1"/>
  <c r="AN215" i="1" s="1"/>
  <c r="AN216" i="1" a="1"/>
  <c r="AN216" i="1"/>
  <c r="AN217" i="1" a="1"/>
  <c r="AN217" i="1" s="1"/>
  <c r="AN218" i="1" a="1"/>
  <c r="AN218" i="1"/>
  <c r="AN219" i="1" a="1"/>
  <c r="AN219" i="1" s="1"/>
  <c r="AN220" i="1" a="1"/>
  <c r="AN220" i="1" s="1"/>
  <c r="AN221" i="1" a="1"/>
  <c r="AN221" i="1"/>
  <c r="AN222" i="1" a="1"/>
  <c r="AN222" i="1" s="1"/>
  <c r="AN223" i="1" a="1"/>
  <c r="AN223" i="1"/>
  <c r="AN224" i="1" a="1"/>
  <c r="AN224" i="1"/>
  <c r="AN225" i="1" a="1"/>
  <c r="AN225" i="1" s="1"/>
  <c r="AN226" i="1" a="1"/>
  <c r="AN226" i="1"/>
  <c r="AN227" i="1" a="1"/>
  <c r="AN227" i="1" s="1"/>
  <c r="AN228" i="1" a="1"/>
  <c r="AN228" i="1" s="1"/>
  <c r="AN229" i="1" a="1"/>
  <c r="AN229" i="1" s="1"/>
  <c r="AN230" i="1" a="1"/>
  <c r="AN230" i="1"/>
  <c r="AN231" i="1" a="1"/>
  <c r="AN231" i="1" s="1"/>
  <c r="AN232" i="1" a="1"/>
  <c r="AN232" i="1" s="1"/>
  <c r="AN233" i="1" a="1"/>
  <c r="AN233" i="1"/>
  <c r="AN234" i="1" a="1"/>
  <c r="AN234" i="1" s="1"/>
  <c r="AN235" i="1" a="1"/>
  <c r="AN235" i="1" s="1"/>
  <c r="AN236" i="1" a="1"/>
  <c r="AN236" i="1"/>
  <c r="AN237" i="1" a="1"/>
  <c r="AN237" i="1" s="1"/>
  <c r="AN238" i="1" a="1"/>
  <c r="AN238" i="1" s="1"/>
  <c r="AN239" i="1" a="1"/>
  <c r="AN239" i="1" s="1"/>
  <c r="AN240" i="1" a="1"/>
  <c r="AN240" i="1"/>
  <c r="AN241" i="1" a="1"/>
  <c r="AN241" i="1" s="1"/>
  <c r="AN242" i="1" a="1"/>
  <c r="AN242" i="1"/>
  <c r="AN243" i="1" a="1"/>
  <c r="AN243" i="1" s="1"/>
  <c r="AN244" i="1" a="1"/>
  <c r="AN244" i="1" s="1"/>
  <c r="AN245" i="1" a="1"/>
  <c r="AN245" i="1" s="1"/>
  <c r="AN246" i="1" a="1"/>
  <c r="AN246" i="1" s="1"/>
  <c r="AN247" i="1" a="1"/>
  <c r="AN247" i="1" s="1"/>
  <c r="AN248" i="1" a="1"/>
  <c r="AN248" i="1" s="1"/>
  <c r="AN249" i="1" a="1"/>
  <c r="AN249" i="1" s="1"/>
  <c r="AN250" i="1" a="1"/>
  <c r="AN250" i="1" s="1"/>
  <c r="AN251" i="1" a="1"/>
  <c r="AN251" i="1"/>
  <c r="AN252" i="1" a="1"/>
  <c r="AN252" i="1" s="1"/>
  <c r="AN253" i="1" a="1"/>
  <c r="AN253" i="1"/>
  <c r="AN254" i="1" a="1"/>
  <c r="AN254" i="1" s="1"/>
  <c r="AN255" i="1" a="1"/>
  <c r="AN255" i="1" s="1"/>
  <c r="AN256" i="1" a="1"/>
  <c r="AN256" i="1" s="1"/>
  <c r="AN257" i="1" a="1"/>
  <c r="AN257" i="1" s="1"/>
  <c r="AN258" i="1" a="1"/>
  <c r="AN258" i="1" s="1"/>
  <c r="AN259" i="1" a="1"/>
  <c r="AN259" i="1"/>
  <c r="AN260" i="1" a="1"/>
  <c r="AN260" i="1"/>
  <c r="AN261" i="1" a="1"/>
  <c r="AN261" i="1" s="1"/>
  <c r="AN262" i="1" a="1"/>
  <c r="AN262" i="1" s="1"/>
  <c r="AN263" i="1" a="1"/>
  <c r="AN263" i="1" s="1"/>
  <c r="AN264" i="1" a="1"/>
  <c r="AN264" i="1"/>
  <c r="AN265" i="1" a="1"/>
  <c r="AN265" i="1" s="1"/>
  <c r="AN266" i="1" a="1"/>
  <c r="AN266" i="1" s="1"/>
  <c r="AN267" i="1" a="1"/>
  <c r="AN267" i="1" s="1"/>
  <c r="AN268" i="1" a="1"/>
  <c r="AN268" i="1" s="1"/>
  <c r="AN269" i="1" a="1"/>
  <c r="AN269" i="1"/>
  <c r="AN270" i="1" a="1"/>
  <c r="AN270" i="1" s="1"/>
  <c r="AN271" i="1" a="1"/>
  <c r="AN271" i="1" s="1"/>
  <c r="AN272" i="1" a="1"/>
  <c r="AN272" i="1" s="1"/>
  <c r="AN273" i="1" a="1"/>
  <c r="AN273" i="1" s="1"/>
  <c r="AN274" i="1" a="1"/>
  <c r="AN274" i="1" s="1"/>
  <c r="AN275" i="1" a="1"/>
  <c r="AN275" i="1" s="1"/>
  <c r="AN276" i="1" a="1"/>
  <c r="AN276" i="1" s="1"/>
  <c r="AN277" i="1" a="1"/>
  <c r="AN277" i="1" s="1"/>
  <c r="AN278" i="1" a="1"/>
  <c r="AN278" i="1"/>
  <c r="AN279" i="1" a="1"/>
  <c r="AN279" i="1" s="1"/>
  <c r="AN280" i="1" a="1"/>
  <c r="AN280" i="1" s="1"/>
  <c r="AN281" i="1" a="1"/>
  <c r="AN281" i="1" s="1"/>
  <c r="AN282" i="1" a="1"/>
  <c r="AN282" i="1"/>
  <c r="AN283" i="1" a="1"/>
  <c r="AN283" i="1" s="1"/>
  <c r="AN284" i="1" a="1"/>
  <c r="AN284" i="1" s="1"/>
  <c r="AN285" i="1" a="1"/>
  <c r="AN285" i="1" s="1"/>
  <c r="AN286" i="1" a="1"/>
  <c r="AN286" i="1"/>
  <c r="AN287" i="1" a="1"/>
  <c r="AN287" i="1" s="1"/>
  <c r="AN288" i="1" a="1"/>
  <c r="AN288" i="1" s="1"/>
  <c r="AN289" i="1" a="1"/>
  <c r="AN289" i="1" s="1"/>
  <c r="AN290" i="1" a="1"/>
  <c r="AN290" i="1"/>
  <c r="AN291" i="1" a="1"/>
  <c r="AN291" i="1" s="1"/>
  <c r="AN292" i="1" a="1"/>
  <c r="AN292" i="1" s="1"/>
  <c r="AN293" i="1" a="1"/>
  <c r="AN293" i="1" s="1"/>
  <c r="AN294" i="1" a="1"/>
  <c r="AN294" i="1" s="1"/>
  <c r="AN295" i="1" a="1"/>
  <c r="AN295" i="1" s="1"/>
  <c r="AN296" i="1" a="1"/>
  <c r="AN296" i="1" s="1"/>
  <c r="AN297" i="1" a="1"/>
  <c r="AN297" i="1" s="1"/>
  <c r="AN298" i="1" a="1"/>
  <c r="AN298" i="1" s="1"/>
  <c r="AN299" i="1" a="1"/>
  <c r="AN299" i="1"/>
  <c r="AN300" i="1" a="1"/>
  <c r="AN300" i="1" s="1"/>
  <c r="AN301" i="1" a="1"/>
  <c r="AN301" i="1" s="1"/>
  <c r="AN302" i="1" a="1"/>
  <c r="AN302" i="1"/>
  <c r="AN303" i="1" a="1"/>
  <c r="AN303" i="1" s="1"/>
  <c r="AN304" i="1" a="1"/>
  <c r="AN304" i="1" s="1"/>
  <c r="AN305" i="1" a="1"/>
  <c r="AN305" i="1" s="1"/>
  <c r="AN306" i="1" a="1"/>
  <c r="AN306" i="1"/>
  <c r="AN307" i="1" a="1"/>
  <c r="AN307" i="1"/>
  <c r="AN308" i="1" a="1"/>
  <c r="AN308" i="1" s="1"/>
  <c r="AN309" i="1" a="1"/>
  <c r="AN309" i="1" s="1"/>
  <c r="AN310" i="1" a="1"/>
  <c r="AN310" i="1"/>
  <c r="AN311" i="1" a="1"/>
  <c r="AN311" i="1" s="1"/>
  <c r="AN312" i="1" a="1"/>
  <c r="AN312" i="1" s="1"/>
  <c r="AN313" i="1" a="1"/>
  <c r="AN313" i="1"/>
  <c r="AN314" i="1" a="1"/>
  <c r="AN314" i="1"/>
  <c r="AN315" i="1" a="1"/>
  <c r="AN315" i="1" s="1"/>
  <c r="AN316" i="1" a="1"/>
  <c r="AN316" i="1" s="1"/>
  <c r="AN317" i="1" a="1"/>
  <c r="AN317" i="1" s="1"/>
  <c r="AN318" i="1" a="1"/>
  <c r="AN318" i="1" s="1"/>
  <c r="AN319" i="1" a="1"/>
  <c r="AN319" i="1" s="1"/>
  <c r="AN320" i="1" a="1"/>
  <c r="AN320" i="1" s="1"/>
  <c r="AN321" i="1" a="1"/>
  <c r="AN321" i="1" s="1"/>
  <c r="AN322" i="1" a="1"/>
  <c r="AN322" i="1"/>
  <c r="AN323" i="1" a="1"/>
  <c r="AN323" i="1"/>
  <c r="AN324" i="1" a="1"/>
  <c r="AN324" i="1"/>
  <c r="AN325" i="1" a="1"/>
  <c r="AN325" i="1" s="1"/>
  <c r="AN326" i="1" a="1"/>
  <c r="AN326" i="1" s="1"/>
  <c r="AN327" i="1" a="1"/>
  <c r="AN327" i="1" s="1"/>
  <c r="AN328" i="1" a="1"/>
  <c r="AN328" i="1" s="1"/>
  <c r="AN329" i="1" a="1"/>
  <c r="AN329" i="1" s="1"/>
  <c r="AN330" i="1" a="1"/>
  <c r="AN330" i="1" s="1"/>
  <c r="AN331" i="1" a="1"/>
  <c r="AN331" i="1"/>
  <c r="AN332" i="1" a="1"/>
  <c r="AN332" i="1"/>
  <c r="AN333" i="1" a="1"/>
  <c r="AN333" i="1" s="1"/>
  <c r="AN334" i="1" a="1"/>
  <c r="AN334" i="1" s="1"/>
  <c r="AN335" i="1" a="1"/>
  <c r="AN335" i="1" s="1"/>
  <c r="AN336" i="1" a="1"/>
  <c r="AN336" i="1" s="1"/>
  <c r="AN337" i="1" a="1"/>
  <c r="AN337" i="1" s="1"/>
  <c r="AN338" i="1" a="1"/>
  <c r="AN338" i="1"/>
  <c r="AN339" i="1" a="1"/>
  <c r="AN339" i="1" s="1"/>
  <c r="AN340" i="1" a="1"/>
  <c r="AN340" i="1" s="1"/>
  <c r="AN341" i="1" a="1"/>
  <c r="AN341" i="1"/>
  <c r="AN342" i="1" a="1"/>
  <c r="AN342" i="1"/>
  <c r="AN343" i="1" a="1"/>
  <c r="AN343" i="1" s="1"/>
  <c r="AN344" i="1" a="1"/>
  <c r="AN344" i="1" s="1"/>
  <c r="AN345" i="1" a="1"/>
  <c r="AN345" i="1" s="1"/>
  <c r="AN346" i="1" a="1"/>
  <c r="AN346" i="1"/>
  <c r="AN347" i="1" a="1"/>
  <c r="AN347" i="1" s="1"/>
  <c r="AN348" i="1" a="1"/>
  <c r="AN348" i="1"/>
  <c r="AN349" i="1" a="1"/>
  <c r="AN349" i="1" s="1"/>
  <c r="AN350" i="1" a="1"/>
  <c r="AN350" i="1"/>
  <c r="AN351" i="1" a="1"/>
  <c r="AN351" i="1" s="1"/>
  <c r="AN352" i="1" a="1"/>
  <c r="AN352" i="1" s="1"/>
  <c r="AN353" i="1" a="1"/>
  <c r="AN353" i="1"/>
  <c r="AN354" i="1" a="1"/>
  <c r="AN354" i="1"/>
  <c r="AN355" i="1" a="1"/>
  <c r="AN355" i="1"/>
  <c r="AN356" i="1" a="1"/>
  <c r="AN356" i="1" s="1"/>
  <c r="AN357" i="1" a="1"/>
  <c r="AN357" i="1" s="1"/>
  <c r="AN358" i="1" a="1"/>
  <c r="AN358" i="1" s="1"/>
  <c r="AN359" i="1" a="1"/>
  <c r="AN359" i="1" s="1"/>
  <c r="AN360" i="1" a="1"/>
  <c r="AN360" i="1" s="1"/>
  <c r="AN361" i="1" a="1"/>
  <c r="AN361" i="1" s="1"/>
  <c r="AN362" i="1" a="1"/>
  <c r="AN362" i="1"/>
  <c r="AN363" i="1" a="1"/>
  <c r="AN363" i="1" s="1"/>
  <c r="AN364" i="1" a="1"/>
  <c r="AN364" i="1" s="1"/>
  <c r="AN365" i="1" a="1"/>
  <c r="AN365" i="1"/>
  <c r="AN366" i="1" a="1"/>
  <c r="AN366" i="1"/>
  <c r="AN367" i="1" a="1"/>
  <c r="AN367" i="1" s="1"/>
  <c r="AN368" i="1" a="1"/>
  <c r="AN368" i="1" s="1"/>
  <c r="AN369" i="1" a="1"/>
  <c r="AN369" i="1" s="1"/>
  <c r="AN370" i="1" a="1"/>
  <c r="AN370" i="1" s="1"/>
  <c r="AN371" i="1" a="1"/>
  <c r="AN371" i="1" s="1"/>
  <c r="AN372" i="1" a="1"/>
  <c r="AN372" i="1"/>
  <c r="AN373" i="1" a="1"/>
  <c r="AN373" i="1"/>
  <c r="AN374" i="1" a="1"/>
  <c r="AN374" i="1" s="1"/>
  <c r="AN375" i="1" a="1"/>
  <c r="AN375" i="1" s="1"/>
  <c r="AN376" i="1" a="1"/>
  <c r="AN376" i="1" s="1"/>
  <c r="AN377" i="1" a="1"/>
  <c r="AN377" i="1"/>
  <c r="AN378" i="1" a="1"/>
  <c r="AN378" i="1" s="1"/>
  <c r="AN379" i="1" a="1"/>
  <c r="AN379" i="1"/>
  <c r="AN380" i="1" a="1"/>
  <c r="AN380" i="1" s="1"/>
  <c r="AN381" i="1" a="1"/>
  <c r="AN381" i="1" s="1"/>
  <c r="AN382" i="1" a="1"/>
  <c r="AN382" i="1"/>
  <c r="AN383" i="1" a="1"/>
  <c r="AN383" i="1" s="1"/>
  <c r="AN384" i="1" a="1"/>
  <c r="AN384" i="1" s="1"/>
  <c r="AN385" i="1" a="1"/>
  <c r="AN385" i="1"/>
  <c r="AN386" i="1" a="1"/>
  <c r="AN386" i="1" s="1"/>
  <c r="AN387" i="1" a="1"/>
  <c r="AN387" i="1" s="1"/>
  <c r="AN388" i="1" a="1"/>
  <c r="AN388" i="1" s="1"/>
  <c r="AN389" i="1" a="1"/>
  <c r="AN389" i="1" s="1"/>
  <c r="AN390" i="1" a="1"/>
  <c r="AN390" i="1"/>
  <c r="AN391" i="1" a="1"/>
  <c r="AN391" i="1" s="1"/>
  <c r="AN392" i="1" a="1"/>
  <c r="AN392" i="1"/>
  <c r="AN393" i="1" a="1"/>
  <c r="AN393" i="1" s="1"/>
  <c r="AN394" i="1" a="1"/>
  <c r="AN394" i="1"/>
  <c r="AN395" i="1" a="1"/>
  <c r="AN395" i="1" s="1"/>
  <c r="AN396" i="1" a="1"/>
  <c r="AN396" i="1"/>
  <c r="AN397" i="1" a="1"/>
  <c r="AN397" i="1" s="1"/>
  <c r="AN398" i="1" a="1"/>
  <c r="AN398" i="1" s="1"/>
  <c r="AN399" i="1" a="1"/>
  <c r="AN399" i="1" s="1"/>
  <c r="AN400" i="1" a="1"/>
  <c r="AN400" i="1"/>
  <c r="AN401" i="1" a="1"/>
  <c r="AN401" i="1"/>
  <c r="AN402" i="1" a="1"/>
  <c r="AN402" i="1" s="1"/>
  <c r="AN403" i="1" a="1"/>
  <c r="AN403" i="1" s="1"/>
  <c r="AN404" i="1" a="1"/>
  <c r="AN404" i="1" s="1"/>
  <c r="AN405" i="1" a="1"/>
  <c r="AN405" i="1" s="1"/>
  <c r="AN406" i="1" a="1"/>
  <c r="AN406" i="1" s="1"/>
  <c r="AN407" i="1" a="1"/>
  <c r="AN407" i="1" s="1"/>
  <c r="AN408" i="1" a="1"/>
  <c r="AN408" i="1"/>
  <c r="AN409" i="1" a="1"/>
  <c r="AN409" i="1" s="1"/>
  <c r="AN410" i="1" a="1"/>
  <c r="AN410" i="1"/>
  <c r="AN411" i="1" a="1"/>
  <c r="AN411" i="1" s="1"/>
  <c r="AN412" i="1" a="1"/>
  <c r="AN412" i="1" s="1"/>
  <c r="AN413" i="1" a="1"/>
  <c r="AN413" i="1" s="1"/>
  <c r="AN414" i="1" a="1"/>
  <c r="AN414" i="1" s="1"/>
  <c r="AN415" i="1" a="1"/>
  <c r="AN415" i="1" s="1"/>
  <c r="AN416" i="1" a="1"/>
  <c r="AN416" i="1" s="1"/>
  <c r="AN417" i="1" a="1"/>
  <c r="AN417" i="1" s="1"/>
  <c r="AN418" i="1" a="1"/>
  <c r="AN418" i="1" s="1"/>
  <c r="AN419" i="1" a="1"/>
  <c r="AN419" i="1" s="1"/>
  <c r="AN420" i="1" a="1"/>
  <c r="AN420" i="1"/>
  <c r="AN421" i="1" a="1"/>
  <c r="AN421" i="1"/>
  <c r="AN422" i="1" a="1"/>
  <c r="AN422" i="1" s="1"/>
  <c r="AN423" i="1" a="1"/>
  <c r="AN423" i="1" s="1"/>
  <c r="AN424" i="1" a="1"/>
  <c r="AN424" i="1" s="1"/>
  <c r="AN425" i="1" a="1"/>
  <c r="AN425" i="1" s="1"/>
  <c r="AN426" i="1" a="1"/>
  <c r="AN426" i="1" s="1"/>
  <c r="AN427" i="1" a="1"/>
  <c r="AN427" i="1" s="1"/>
  <c r="AN428" i="1" a="1"/>
  <c r="AN428" i="1" s="1"/>
  <c r="AN429" i="1" a="1"/>
  <c r="AN429" i="1" s="1"/>
  <c r="AN430" i="1" a="1"/>
  <c r="AN430" i="1"/>
  <c r="AN431" i="1" a="1"/>
  <c r="AN431" i="1" s="1"/>
  <c r="AN432" i="1" a="1"/>
  <c r="AN432" i="1" s="1"/>
  <c r="AN433" i="1" a="1"/>
  <c r="AN433" i="1" s="1"/>
  <c r="AN434" i="1" a="1"/>
  <c r="AN434" i="1" s="1"/>
  <c r="AN435" i="1" a="1"/>
  <c r="AN435" i="1" s="1"/>
  <c r="AN436" i="1" a="1"/>
  <c r="AN436" i="1"/>
  <c r="AN437" i="1" a="1"/>
  <c r="AN437" i="1" s="1"/>
  <c r="AN438" i="1" a="1"/>
  <c r="AN438" i="1" s="1"/>
  <c r="AN439" i="1" a="1"/>
  <c r="AN439" i="1"/>
  <c r="AN440" i="1" a="1"/>
  <c r="AN440" i="1"/>
  <c r="AN441" i="1" a="1"/>
  <c r="AN441" i="1" s="1"/>
  <c r="AN442" i="1" a="1"/>
  <c r="AN442" i="1" s="1"/>
  <c r="AN443" i="1" a="1"/>
  <c r="AN443" i="1"/>
  <c r="AN444" i="1" a="1"/>
  <c r="AN444" i="1" s="1"/>
  <c r="AN445" i="1" a="1"/>
  <c r="AN445" i="1"/>
  <c r="AN446" i="1" a="1"/>
  <c r="AN446" i="1"/>
  <c r="AN447" i="1" a="1"/>
  <c r="AN447" i="1" s="1"/>
  <c r="AN448" i="1" a="1"/>
  <c r="AN448" i="1" s="1"/>
  <c r="AN449" i="1" a="1"/>
  <c r="AN449" i="1" s="1"/>
  <c r="AN450" i="1" a="1"/>
  <c r="AN450" i="1" s="1"/>
  <c r="AN451" i="1" a="1"/>
  <c r="AN451" i="1" s="1"/>
  <c r="AN452" i="1" a="1"/>
  <c r="AN452" i="1"/>
  <c r="AN453" i="1" a="1"/>
  <c r="AN453" i="1" s="1"/>
  <c r="AN454" i="1" a="1"/>
  <c r="AN454" i="1"/>
  <c r="AN455" i="1" a="1"/>
  <c r="AN455" i="1" s="1"/>
  <c r="AN456" i="1" a="1"/>
  <c r="AN456" i="1"/>
  <c r="AN457" i="1" a="1"/>
  <c r="AN457" i="1" s="1"/>
  <c r="AN458" i="1" a="1"/>
  <c r="AN458" i="1" s="1"/>
  <c r="AN459" i="1" a="1"/>
  <c r="AN459" i="1" s="1"/>
  <c r="AN460" i="1" a="1"/>
  <c r="AN460" i="1"/>
  <c r="AN461" i="1" a="1"/>
  <c r="AN461" i="1" s="1"/>
  <c r="AN462" i="1" a="1"/>
  <c r="AN462" i="1"/>
  <c r="AN463" i="1" a="1"/>
  <c r="AN463" i="1"/>
  <c r="AN464" i="1" a="1"/>
  <c r="AN464" i="1" s="1"/>
  <c r="AN465" i="1" a="1"/>
  <c r="AN465" i="1" s="1"/>
  <c r="AN466" i="1" a="1"/>
  <c r="AN466" i="1" s="1"/>
  <c r="AN467" i="1" a="1"/>
  <c r="AN467" i="1" s="1"/>
  <c r="AN468" i="1" a="1"/>
  <c r="AN468" i="1" s="1"/>
  <c r="AN469" i="1" a="1"/>
  <c r="AN469" i="1"/>
  <c r="AN470" i="1" a="1"/>
  <c r="AN470" i="1" s="1"/>
  <c r="AN471" i="1" a="1"/>
  <c r="AN471" i="1" s="1"/>
  <c r="AN472" i="1" a="1"/>
  <c r="AN472" i="1"/>
  <c r="AN473" i="1" a="1"/>
  <c r="AN473" i="1" s="1"/>
  <c r="AN474" i="1" a="1"/>
  <c r="AN474" i="1" s="1"/>
  <c r="AN475" i="1" a="1"/>
  <c r="AN475" i="1"/>
  <c r="AN476" i="1" a="1"/>
  <c r="AN476" i="1" s="1"/>
  <c r="AN477" i="1" a="1"/>
  <c r="AN477" i="1" s="1"/>
  <c r="AN478" i="1" a="1"/>
  <c r="AN478" i="1" s="1"/>
  <c r="AN479" i="1" a="1"/>
  <c r="AN479" i="1"/>
  <c r="AN480" i="1" a="1"/>
  <c r="AN480" i="1" s="1"/>
  <c r="AN481" i="1" a="1"/>
  <c r="AN481" i="1" s="1"/>
  <c r="AN482" i="1" a="1"/>
  <c r="AN482" i="1" s="1"/>
  <c r="AN483" i="1" a="1"/>
  <c r="AN483" i="1" s="1"/>
  <c r="AN484" i="1" a="1"/>
  <c r="AN484" i="1"/>
  <c r="AN485" i="1" a="1"/>
  <c r="AN485" i="1" s="1"/>
  <c r="AN486" i="1" a="1"/>
  <c r="AN486" i="1"/>
  <c r="AN487" i="1" a="1"/>
  <c r="AN487" i="1" s="1"/>
  <c r="AN488" i="1" a="1"/>
  <c r="AN488" i="1"/>
  <c r="AN489" i="1" a="1"/>
  <c r="AN489" i="1" s="1"/>
  <c r="AN490" i="1" a="1"/>
  <c r="AN490" i="1"/>
  <c r="AN491" i="1" a="1"/>
  <c r="AN491" i="1" s="1"/>
  <c r="AN492" i="1" a="1"/>
  <c r="AN492" i="1" s="1"/>
  <c r="AN493" i="1" a="1"/>
  <c r="AN493" i="1"/>
  <c r="AN494" i="1" a="1"/>
  <c r="AN494" i="1" s="1"/>
  <c r="AN495" i="1" a="1"/>
  <c r="AN495" i="1" s="1"/>
  <c r="AN496" i="1" a="1"/>
  <c r="AN496" i="1" s="1"/>
  <c r="AN497" i="1" a="1"/>
  <c r="AN497" i="1" s="1"/>
  <c r="AN498" i="1" a="1"/>
  <c r="AN498" i="1"/>
  <c r="AN499" i="1" a="1"/>
  <c r="AN499" i="1"/>
  <c r="AN500" i="1" a="1"/>
  <c r="AN500" i="1" s="1"/>
  <c r="AN501" i="1" a="1"/>
  <c r="AN501" i="1" s="1"/>
  <c r="AN502" i="1" a="1"/>
  <c r="AN502" i="1" s="1"/>
  <c r="AN503" i="1" a="1"/>
  <c r="AN503" i="1" s="1"/>
  <c r="AN504" i="1" a="1"/>
  <c r="AN504" i="1"/>
  <c r="AN505" i="1" a="1"/>
  <c r="AN505" i="1" s="1"/>
  <c r="AN506" i="1" a="1"/>
  <c r="AN506" i="1" s="1"/>
  <c r="AN507" i="1" a="1"/>
  <c r="AN507" i="1" s="1"/>
  <c r="AN508" i="1" a="1"/>
  <c r="AN508" i="1" s="1"/>
  <c r="AN509" i="1" a="1"/>
  <c r="AN509" i="1" s="1"/>
  <c r="AN510" i="1" a="1"/>
  <c r="AN510" i="1" s="1"/>
  <c r="AN511" i="1" a="1"/>
  <c r="AN511" i="1"/>
  <c r="AN512" i="1" a="1"/>
  <c r="AN512" i="1" s="1"/>
  <c r="AN513" i="1" a="1"/>
  <c r="AN513" i="1" s="1"/>
  <c r="AN514" i="1" a="1"/>
  <c r="AN514" i="1" s="1"/>
  <c r="AN515" i="1" a="1"/>
  <c r="AN515" i="1" s="1"/>
  <c r="AN516" i="1" a="1"/>
  <c r="AN516" i="1"/>
  <c r="AN517" i="1" a="1"/>
  <c r="AN517" i="1" s="1"/>
  <c r="AN518" i="1" a="1"/>
  <c r="AN518" i="1" s="1"/>
  <c r="AN519" i="1" a="1"/>
  <c r="AN519" i="1" s="1"/>
  <c r="AN520" i="1" a="1"/>
  <c r="AN520" i="1" s="1"/>
  <c r="AN521" i="1" a="1"/>
  <c r="AN521" i="1" s="1"/>
  <c r="AN522" i="1" a="1"/>
  <c r="AN522" i="1"/>
  <c r="AN523" i="1" a="1"/>
  <c r="AN523" i="1" s="1"/>
  <c r="AN524" i="1" a="1"/>
  <c r="AN524" i="1"/>
  <c r="AN525" i="1" a="1"/>
  <c r="AN525" i="1" s="1"/>
  <c r="AN526" i="1" a="1"/>
  <c r="AN526" i="1"/>
  <c r="AN527" i="1" a="1"/>
  <c r="AN527" i="1" s="1"/>
  <c r="AN528" i="1" a="1"/>
  <c r="AN528" i="1" s="1"/>
  <c r="AN529" i="1" a="1"/>
  <c r="AN529" i="1"/>
  <c r="AN530" i="1" a="1"/>
  <c r="AN530" i="1" s="1"/>
  <c r="AN531" i="1" a="1"/>
  <c r="AN531" i="1" s="1"/>
  <c r="AN532" i="1" a="1"/>
  <c r="AN532" i="1"/>
  <c r="AN533" i="1" a="1"/>
  <c r="AN533" i="1"/>
  <c r="AN534" i="1" a="1"/>
  <c r="AN534" i="1" s="1"/>
  <c r="AN535" i="1" a="1"/>
  <c r="AN535" i="1" s="1"/>
  <c r="AN536" i="1" a="1"/>
  <c r="AN536" i="1"/>
  <c r="AN537" i="1" a="1"/>
  <c r="AN537" i="1" s="1"/>
  <c r="AN538" i="1" a="1"/>
  <c r="AN538" i="1" s="1"/>
  <c r="AN539" i="1" a="1"/>
  <c r="AN539" i="1"/>
  <c r="AN540" i="1" a="1"/>
  <c r="AN540" i="1"/>
  <c r="AN541" i="1" a="1"/>
  <c r="AN541" i="1" s="1"/>
  <c r="AN542" i="1" a="1"/>
  <c r="AN542" i="1"/>
  <c r="AN543" i="1" a="1"/>
  <c r="AN543" i="1" s="1"/>
  <c r="AN544" i="1" a="1"/>
  <c r="AN544" i="1"/>
  <c r="AN545" i="1" a="1"/>
  <c r="AN545" i="1" s="1"/>
  <c r="AN546" i="1" a="1"/>
  <c r="AN546" i="1" s="1"/>
  <c r="AN547" i="1" a="1"/>
  <c r="AN547" i="1"/>
  <c r="AN548" i="1" a="1"/>
  <c r="AN548" i="1" s="1"/>
  <c r="AN549" i="1" a="1"/>
  <c r="AN549" i="1" s="1"/>
  <c r="AN550" i="1" a="1"/>
  <c r="AN550" i="1"/>
  <c r="AN551" i="1" a="1"/>
  <c r="AN551" i="1" s="1"/>
  <c r="AN552" i="1" a="1"/>
  <c r="AN552" i="1" s="1"/>
  <c r="AN553" i="1" a="1"/>
  <c r="AN553" i="1" s="1"/>
  <c r="AN554" i="1" a="1"/>
  <c r="AN554" i="1" s="1"/>
  <c r="AN555" i="1" a="1"/>
  <c r="AN555" i="1" s="1"/>
  <c r="AN556" i="1" a="1"/>
  <c r="AN556" i="1"/>
  <c r="AN557" i="1" a="1"/>
  <c r="AN557" i="1" s="1"/>
  <c r="AN558" i="1" a="1"/>
  <c r="AN558" i="1" s="1"/>
  <c r="AN559" i="1" a="1"/>
  <c r="AN559" i="1"/>
  <c r="AN560" i="1" a="1"/>
  <c r="AN560" i="1" s="1"/>
  <c r="AN561" i="1" a="1"/>
  <c r="AN561" i="1" s="1"/>
  <c r="AN562" i="1" a="1"/>
  <c r="AN562" i="1" s="1"/>
  <c r="AN563" i="1" a="1"/>
  <c r="AN563" i="1" s="1"/>
  <c r="AN564" i="1" a="1"/>
  <c r="AN564" i="1"/>
  <c r="AN565" i="1" a="1"/>
  <c r="AN565" i="1"/>
  <c r="AN566" i="1" a="1"/>
  <c r="AN566" i="1"/>
  <c r="AN567" i="1" a="1"/>
  <c r="AN567" i="1" s="1"/>
  <c r="AN568" i="1" a="1"/>
  <c r="AN568" i="1" s="1"/>
  <c r="AN569" i="1" a="1"/>
  <c r="AN569" i="1" s="1"/>
  <c r="AN570" i="1" a="1"/>
  <c r="AN570" i="1"/>
  <c r="AN571" i="1" a="1"/>
  <c r="AN571" i="1" s="1"/>
  <c r="AN572" i="1" a="1"/>
  <c r="AN572" i="1"/>
  <c r="AN573" i="1" a="1"/>
  <c r="AN573" i="1" s="1"/>
  <c r="AN574" i="1" a="1"/>
  <c r="AN574" i="1"/>
  <c r="AN575" i="1" a="1"/>
  <c r="AN575" i="1" s="1"/>
  <c r="AN576" i="1" a="1"/>
  <c r="AN576" i="1" s="1"/>
  <c r="AN577" i="1" a="1"/>
  <c r="AN577" i="1" s="1"/>
  <c r="AN578" i="1" a="1"/>
  <c r="AN578" i="1"/>
  <c r="AN579" i="1" a="1"/>
  <c r="AN579" i="1" s="1"/>
  <c r="AN580" i="1" a="1"/>
  <c r="AN580" i="1"/>
  <c r="AN581" i="1" a="1"/>
  <c r="AN581" i="1"/>
  <c r="AN582" i="1" a="1"/>
  <c r="AN582" i="1" s="1"/>
  <c r="AN583" i="1" a="1"/>
  <c r="AN583" i="1" s="1"/>
  <c r="AN584" i="1" a="1"/>
  <c r="AN584" i="1" s="1"/>
  <c r="AN585" i="1" a="1"/>
  <c r="AN585" i="1" s="1"/>
  <c r="AN586" i="1" a="1"/>
  <c r="AN586" i="1" s="1"/>
  <c r="AN587" i="1" a="1"/>
  <c r="AN587" i="1" s="1"/>
  <c r="AN588" i="1" a="1"/>
  <c r="AN588" i="1"/>
  <c r="AN589" i="1" a="1"/>
  <c r="AN589" i="1"/>
  <c r="AN590" i="1" a="1"/>
  <c r="AN590" i="1"/>
  <c r="AN591" i="1" a="1"/>
  <c r="AN591" i="1" s="1"/>
  <c r="AN592" i="1" a="1"/>
  <c r="AN592" i="1" s="1"/>
  <c r="AN593" i="1" a="1"/>
  <c r="AN593" i="1"/>
  <c r="AN594" i="1" a="1"/>
  <c r="AN594" i="1"/>
  <c r="AN595" i="1" a="1"/>
  <c r="AN595" i="1" s="1"/>
  <c r="AN596" i="1" a="1"/>
  <c r="AN596" i="1"/>
  <c r="AN597" i="1" a="1"/>
  <c r="AN597" i="1" s="1"/>
  <c r="AN598" i="1" a="1"/>
  <c r="AN598" i="1" s="1"/>
  <c r="AN599" i="1" a="1"/>
  <c r="AN599" i="1" s="1"/>
  <c r="AN600" i="1" a="1"/>
  <c r="AN600" i="1" s="1"/>
  <c r="AN601" i="1" a="1"/>
  <c r="AN601" i="1"/>
  <c r="AN602" i="1" a="1"/>
  <c r="AN602" i="1" s="1"/>
  <c r="AN603" i="1" a="1"/>
  <c r="AN603" i="1" s="1"/>
  <c r="AN604" i="1" a="1"/>
  <c r="AN604" i="1"/>
  <c r="AN605" i="1" a="1"/>
  <c r="AN605" i="1" s="1"/>
  <c r="AN606" i="1" a="1"/>
  <c r="AN606" i="1"/>
  <c r="AN607" i="1" a="1"/>
  <c r="AN607" i="1" s="1"/>
  <c r="AN608" i="1" a="1"/>
  <c r="AN608" i="1" s="1"/>
  <c r="AN609" i="1" a="1"/>
  <c r="AN609" i="1" s="1"/>
  <c r="AN610" i="1" a="1"/>
  <c r="AN610" i="1" s="1"/>
  <c r="AN611" i="1" a="1"/>
  <c r="AN611" i="1"/>
  <c r="AN612" i="1" a="1"/>
  <c r="AN612" i="1"/>
  <c r="AN613" i="1" a="1"/>
  <c r="AN613" i="1" s="1"/>
  <c r="AN614" i="1" a="1"/>
  <c r="AN614" i="1" s="1"/>
  <c r="AN615" i="1" a="1"/>
  <c r="AN615" i="1" s="1"/>
  <c r="AN616" i="1" a="1"/>
  <c r="AN616" i="1" s="1"/>
  <c r="AN617" i="1" a="1"/>
  <c r="AN617" i="1" s="1"/>
  <c r="AN618" i="1" a="1"/>
  <c r="AN618" i="1" s="1"/>
  <c r="AN619" i="1" a="1"/>
  <c r="AN619" i="1" s="1"/>
  <c r="AN620" i="1" a="1"/>
  <c r="AN620" i="1"/>
  <c r="AN621" i="1" a="1"/>
  <c r="AN621" i="1" s="1"/>
  <c r="AN622" i="1" a="1"/>
  <c r="AN622" i="1" s="1"/>
  <c r="AN623" i="1" a="1"/>
  <c r="AN623" i="1"/>
  <c r="AN624" i="1" a="1"/>
  <c r="AN624" i="1" s="1"/>
  <c r="AN625" i="1" a="1"/>
  <c r="AN625" i="1" s="1"/>
  <c r="AN626" i="1" a="1"/>
  <c r="AN626" i="1" s="1"/>
  <c r="AN627" i="1" a="1"/>
  <c r="AN627" i="1" s="1"/>
  <c r="AN628" i="1" a="1"/>
  <c r="AN628" i="1" s="1"/>
  <c r="AN629" i="1" a="1"/>
  <c r="AN629" i="1"/>
  <c r="AN630" i="1" a="1"/>
  <c r="AN630" i="1"/>
  <c r="AN631" i="1" a="1"/>
  <c r="AN631" i="1"/>
  <c r="AN632" i="1" a="1"/>
  <c r="AN632" i="1" s="1"/>
  <c r="AN633" i="1" a="1"/>
  <c r="AN633" i="1" s="1"/>
  <c r="AN634" i="1" a="1"/>
  <c r="AN634" i="1"/>
  <c r="AN635" i="1" a="1"/>
  <c r="AN635" i="1" s="1"/>
  <c r="AN636" i="1" a="1"/>
  <c r="AN636" i="1" s="1"/>
  <c r="AN637" i="1" a="1"/>
  <c r="AN637" i="1"/>
  <c r="AN638" i="1" a="1"/>
  <c r="AN638" i="1"/>
  <c r="AN639" i="1" a="1"/>
  <c r="AN639" i="1" s="1"/>
  <c r="AN640" i="1" a="1"/>
  <c r="AN640" i="1" s="1"/>
  <c r="AN641" i="1" a="1"/>
  <c r="AN641" i="1"/>
  <c r="AN642" i="1" a="1"/>
  <c r="AN642" i="1" s="1"/>
  <c r="AN643" i="1" a="1"/>
  <c r="AN643" i="1"/>
  <c r="AN644" i="1" a="1"/>
  <c r="AN644" i="1" s="1"/>
  <c r="AN645" i="1" a="1"/>
  <c r="AN645" i="1" s="1"/>
  <c r="AN646" i="1" a="1"/>
  <c r="AN646" i="1" s="1"/>
  <c r="AN647" i="1" a="1"/>
  <c r="AN647" i="1"/>
  <c r="AN648" i="1" a="1"/>
  <c r="AN648" i="1" s="1"/>
  <c r="AN649" i="1" a="1"/>
  <c r="AN649" i="1" s="1"/>
  <c r="AN650" i="1" a="1"/>
  <c r="AN650" i="1" s="1"/>
  <c r="AN651" i="1" a="1"/>
  <c r="AN651" i="1" s="1"/>
  <c r="AN652" i="1" a="1"/>
  <c r="AN652" i="1"/>
  <c r="AN653" i="1" a="1"/>
  <c r="AN653" i="1" s="1"/>
  <c r="AN654" i="1" a="1"/>
  <c r="AN654" i="1"/>
  <c r="AN655" i="1" a="1"/>
  <c r="AN655" i="1" s="1"/>
  <c r="AN656" i="1" a="1"/>
  <c r="AN656" i="1" s="1"/>
  <c r="AN657" i="1" a="1"/>
  <c r="AN657" i="1" s="1"/>
  <c r="AN658" i="1" a="1"/>
  <c r="AN658" i="1" s="1"/>
  <c r="AN659" i="1" a="1"/>
  <c r="AN659" i="1" s="1"/>
  <c r="AN660" i="1" a="1"/>
  <c r="AN660" i="1" s="1"/>
  <c r="AN661" i="1" a="1"/>
  <c r="AN661" i="1"/>
  <c r="AN662" i="1" a="1"/>
  <c r="AN662" i="1"/>
  <c r="AN663" i="1" a="1"/>
  <c r="AN663" i="1" s="1"/>
  <c r="AN664" i="1" a="1"/>
  <c r="AN664" i="1"/>
  <c r="AN665" i="1" a="1"/>
  <c r="AN665" i="1"/>
  <c r="AN666" i="1" a="1"/>
  <c r="AN666" i="1" s="1"/>
  <c r="AN667" i="1" a="1"/>
  <c r="AN667" i="1" s="1"/>
  <c r="AN668" i="1" a="1"/>
  <c r="AN668" i="1"/>
  <c r="AN669" i="1" a="1"/>
  <c r="AN669" i="1" s="1"/>
  <c r="AN670" i="1" a="1"/>
  <c r="AN670" i="1" s="1"/>
  <c r="AN671" i="1" a="1"/>
  <c r="AN671" i="1" s="1"/>
  <c r="AN672" i="1" a="1"/>
  <c r="AN672" i="1" s="1"/>
  <c r="AN673" i="1" a="1"/>
  <c r="AN673" i="1" s="1"/>
  <c r="AN674" i="1" a="1"/>
  <c r="AN674" i="1"/>
  <c r="AN675" i="1" a="1"/>
  <c r="AN675" i="1" s="1"/>
  <c r="AN676" i="1" a="1"/>
  <c r="AN676" i="1" s="1"/>
  <c r="AN677" i="1" a="1"/>
  <c r="AN677" i="1" s="1"/>
  <c r="AN678" i="1" a="1"/>
  <c r="AN678" i="1"/>
  <c r="AN679" i="1" a="1"/>
  <c r="AN679" i="1" s="1"/>
  <c r="AN680" i="1" a="1"/>
  <c r="AN680" i="1" s="1"/>
  <c r="AN681" i="1" a="1"/>
  <c r="AN681" i="1" s="1"/>
  <c r="AN682" i="1" a="1"/>
  <c r="AN682" i="1"/>
  <c r="AN683" i="1" a="1"/>
  <c r="AN683" i="1" s="1"/>
  <c r="AN684" i="1" a="1"/>
  <c r="AN684" i="1" s="1"/>
  <c r="AN685" i="1" a="1"/>
  <c r="AN685" i="1" s="1"/>
  <c r="AN686" i="1" a="1"/>
  <c r="AN686" i="1"/>
  <c r="AN687" i="1" a="1"/>
  <c r="AN687" i="1" s="1"/>
  <c r="AN688" i="1" a="1"/>
  <c r="AN688" i="1"/>
  <c r="AN689" i="1" a="1"/>
  <c r="AN689" i="1"/>
  <c r="AN690" i="1" a="1"/>
  <c r="AN690" i="1" s="1"/>
  <c r="AN691" i="1" a="1"/>
  <c r="AN691" i="1"/>
  <c r="AN692" i="1" a="1"/>
  <c r="AN692" i="1" s="1"/>
  <c r="AN693" i="1" a="1"/>
  <c r="AN693" i="1" s="1"/>
  <c r="AN694" i="1" a="1"/>
  <c r="AN694" i="1" s="1"/>
  <c r="AN695" i="1" a="1"/>
  <c r="AN695" i="1" s="1"/>
  <c r="AN696" i="1" a="1"/>
  <c r="AN696" i="1"/>
  <c r="AN697" i="1" a="1"/>
  <c r="AN697" i="1" s="1"/>
  <c r="AN698" i="1" a="1"/>
  <c r="AN698" i="1" s="1"/>
  <c r="AN699" i="1" a="1"/>
  <c r="AN699" i="1" s="1"/>
  <c r="AN700" i="1" a="1"/>
  <c r="AN700" i="1" s="1"/>
  <c r="AN701" i="1" a="1"/>
  <c r="AN701" i="1" s="1"/>
  <c r="AN702" i="1" a="1"/>
  <c r="AN702" i="1" s="1"/>
  <c r="AN703" i="1" a="1"/>
  <c r="AN703" i="1"/>
  <c r="AN704" i="1" a="1"/>
  <c r="AN704" i="1" s="1"/>
  <c r="AN705" i="1" a="1"/>
  <c r="AN705" i="1" s="1"/>
  <c r="AN706" i="1" a="1"/>
  <c r="AN706" i="1"/>
  <c r="AN707" i="1" a="1"/>
  <c r="AN707" i="1" s="1"/>
  <c r="AN708" i="1" a="1"/>
  <c r="AN708" i="1"/>
  <c r="AN709" i="1" a="1"/>
  <c r="AN709" i="1" s="1"/>
  <c r="AN710" i="1" a="1"/>
  <c r="AN710" i="1" s="1"/>
  <c r="AN711" i="1" a="1"/>
  <c r="AN711" i="1" s="1"/>
  <c r="AN712" i="1" a="1"/>
  <c r="AN712" i="1" s="1"/>
  <c r="AN713" i="1" a="1"/>
  <c r="AN713" i="1"/>
  <c r="AN714" i="1" a="1"/>
  <c r="AN714" i="1" s="1"/>
  <c r="AN715" i="1" a="1"/>
  <c r="AN715" i="1" s="1"/>
  <c r="AN716" i="1" a="1"/>
  <c r="AN716" i="1"/>
  <c r="AN717" i="1" a="1"/>
  <c r="AN717" i="1" s="1"/>
  <c r="AN718" i="1" a="1"/>
  <c r="AN718" i="1" s="1"/>
  <c r="AN719" i="1" a="1"/>
  <c r="AN719" i="1" s="1"/>
  <c r="AN720" i="1" a="1"/>
  <c r="AN720" i="1" s="1"/>
  <c r="AN721" i="1" a="1"/>
  <c r="AN721" i="1" s="1"/>
  <c r="AN722" i="1" a="1"/>
  <c r="AN722" i="1" s="1"/>
  <c r="AN723" i="1" a="1"/>
  <c r="AN723" i="1" s="1"/>
  <c r="AN724" i="1" a="1"/>
  <c r="AN724" i="1"/>
  <c r="AN725" i="1" a="1"/>
  <c r="AN725" i="1"/>
  <c r="AN726" i="1" a="1"/>
  <c r="AN726" i="1" s="1"/>
  <c r="AN727" i="1" a="1"/>
  <c r="AN727" i="1" s="1"/>
  <c r="AN728" i="1" a="1"/>
  <c r="AN728" i="1" s="1"/>
  <c r="AN729" i="1" a="1"/>
  <c r="AN729" i="1" s="1"/>
  <c r="AN730" i="1" a="1"/>
  <c r="AN730" i="1" s="1"/>
  <c r="AN731" i="1" a="1"/>
  <c r="AN731" i="1" s="1"/>
  <c r="AN732" i="1" a="1"/>
  <c r="AN732" i="1"/>
  <c r="AN733" i="1" a="1"/>
  <c r="AN733" i="1" s="1"/>
  <c r="AN734" i="1" a="1"/>
  <c r="AN734" i="1" s="1"/>
  <c r="AN735" i="1" a="1"/>
  <c r="AN735" i="1" s="1"/>
  <c r="AN736" i="1" a="1"/>
  <c r="AN736" i="1" s="1"/>
  <c r="AN737" i="1" a="1"/>
  <c r="AN737" i="1" s="1"/>
  <c r="AN738" i="1" a="1"/>
  <c r="AN738" i="1" s="1"/>
  <c r="AN739" i="1" a="1"/>
  <c r="AN739" i="1"/>
  <c r="AN740" i="1" a="1"/>
  <c r="AN740" i="1"/>
  <c r="AN741" i="1" a="1"/>
  <c r="AN741" i="1" s="1"/>
  <c r="AN742" i="1" a="1"/>
  <c r="AN742" i="1"/>
  <c r="AN743" i="1" a="1"/>
  <c r="AN743" i="1"/>
  <c r="AN744" i="1" a="1"/>
  <c r="AN744" i="1" s="1"/>
  <c r="AN745" i="1" a="1"/>
  <c r="AN745" i="1" s="1"/>
  <c r="AN746" i="1" a="1"/>
  <c r="AN746" i="1"/>
  <c r="AN747" i="1" a="1"/>
  <c r="AN747" i="1" s="1"/>
  <c r="AN748" i="1" a="1"/>
  <c r="AN748" i="1"/>
  <c r="AN749" i="1" a="1"/>
  <c r="AN749" i="1"/>
  <c r="AN750" i="1" a="1"/>
  <c r="AN750" i="1"/>
  <c r="AN751" i="1" a="1"/>
  <c r="AN751" i="1" s="1"/>
  <c r="AN752" i="1" a="1"/>
  <c r="AN752" i="1"/>
  <c r="AN753" i="1" a="1"/>
  <c r="AN753" i="1" s="1"/>
  <c r="AN754" i="1" a="1"/>
  <c r="AN754" i="1"/>
  <c r="AN755" i="1" a="1"/>
  <c r="AN755" i="1" s="1"/>
  <c r="AN756" i="1" a="1"/>
  <c r="AN756" i="1"/>
  <c r="AN757" i="1" a="1"/>
  <c r="AN757" i="1" s="1"/>
  <c r="AN758" i="1" a="1"/>
  <c r="AN758" i="1"/>
  <c r="AN759" i="1" a="1"/>
  <c r="AN759" i="1" s="1"/>
  <c r="AN760" i="1" a="1"/>
  <c r="AN760" i="1"/>
  <c r="AN761" i="1" a="1"/>
  <c r="AN761" i="1"/>
  <c r="AN762" i="1" a="1"/>
  <c r="AN762" i="1" s="1"/>
  <c r="AN763" i="1" a="1"/>
  <c r="AN763" i="1"/>
  <c r="AN764" i="1" a="1"/>
  <c r="AN764" i="1"/>
  <c r="AN765" i="1" a="1"/>
  <c r="AN765" i="1" s="1"/>
  <c r="AN766" i="1" a="1"/>
  <c r="AN766" i="1" s="1"/>
  <c r="AN767" i="1" a="1"/>
  <c r="AN767" i="1"/>
  <c r="AN768" i="1" a="1"/>
  <c r="AN768" i="1"/>
  <c r="AN769" i="1" a="1"/>
  <c r="AN769" i="1" s="1"/>
  <c r="AN770" i="1" a="1"/>
  <c r="AN770" i="1" s="1"/>
  <c r="AN771" i="1" a="1"/>
  <c r="AN771" i="1" s="1"/>
  <c r="AN772" i="1" a="1"/>
  <c r="AN772" i="1"/>
  <c r="AN773" i="1" a="1"/>
  <c r="AN773" i="1" s="1"/>
  <c r="AN774" i="1" a="1"/>
  <c r="AN774" i="1" s="1"/>
  <c r="AN775" i="1" a="1"/>
  <c r="AN775" i="1"/>
  <c r="AN776" i="1" a="1"/>
  <c r="AN776" i="1" s="1"/>
  <c r="AN777" i="1" a="1"/>
  <c r="AN777" i="1" s="1"/>
  <c r="AN778" i="1" a="1"/>
  <c r="AN778" i="1"/>
  <c r="AN779" i="1" a="1"/>
  <c r="AN779" i="1" s="1"/>
  <c r="AN780" i="1" a="1"/>
  <c r="AN780" i="1" s="1"/>
  <c r="AN781" i="1" a="1"/>
  <c r="AN781" i="1" s="1"/>
  <c r="AN782" i="1" a="1"/>
  <c r="AN782" i="1"/>
  <c r="AN783" i="1" a="1"/>
  <c r="AN783" i="1" s="1"/>
  <c r="AN784" i="1" a="1"/>
  <c r="AN784" i="1"/>
  <c r="AN785" i="1" a="1"/>
  <c r="AN785" i="1"/>
  <c r="AN786" i="1" a="1"/>
  <c r="AN786" i="1"/>
  <c r="AN787" i="1" a="1"/>
  <c r="AN787" i="1" s="1"/>
  <c r="AN788" i="1" a="1"/>
  <c r="AN788" i="1" s="1"/>
  <c r="AN789" i="1" a="1"/>
  <c r="AN789" i="1" s="1"/>
  <c r="AN790" i="1" a="1"/>
  <c r="AN790" i="1" s="1"/>
  <c r="AN791" i="1" a="1"/>
  <c r="AN791" i="1"/>
  <c r="AN792" i="1" a="1"/>
  <c r="AN792" i="1"/>
  <c r="AN793" i="1" a="1"/>
  <c r="AN793" i="1"/>
  <c r="AN794" i="1" a="1"/>
  <c r="AN794" i="1"/>
  <c r="AN795" i="1" a="1"/>
  <c r="AN795" i="1" s="1"/>
  <c r="AN796" i="1" a="1"/>
  <c r="AN796" i="1"/>
  <c r="AN797" i="1" a="1"/>
  <c r="AN797" i="1" s="1"/>
  <c r="AN798" i="1" a="1"/>
  <c r="AN798" i="1"/>
  <c r="AN799" i="1" a="1"/>
  <c r="AN799" i="1" s="1"/>
  <c r="AN800" i="1" a="1"/>
  <c r="AN800" i="1"/>
  <c r="AN801" i="1" a="1"/>
  <c r="AN801" i="1" s="1"/>
  <c r="AN802" i="1" a="1"/>
  <c r="AN802" i="1"/>
  <c r="AN803" i="1" a="1"/>
  <c r="AN803" i="1" s="1"/>
  <c r="AN804" i="1" a="1"/>
  <c r="AN804" i="1" s="1"/>
  <c r="AN805" i="1" a="1"/>
  <c r="AN805" i="1"/>
  <c r="AN806" i="1" a="1"/>
  <c r="AN806" i="1" s="1"/>
  <c r="AN807" i="1" a="1"/>
  <c r="AN807" i="1" s="1"/>
  <c r="AN808" i="1" a="1"/>
  <c r="AN808" i="1"/>
  <c r="AN809" i="1" a="1"/>
  <c r="AN809" i="1"/>
  <c r="AN810" i="1" a="1"/>
  <c r="AN810" i="1"/>
  <c r="AN811" i="1" a="1"/>
  <c r="AN811" i="1" s="1"/>
  <c r="AN812" i="1" a="1"/>
  <c r="AN812" i="1"/>
  <c r="AN813" i="1" a="1"/>
  <c r="AN813" i="1"/>
  <c r="AN814" i="1" a="1"/>
  <c r="AN814" i="1"/>
  <c r="AN815" i="1" a="1"/>
  <c r="AN815" i="1"/>
  <c r="AN816" i="1" a="1"/>
  <c r="AN816" i="1"/>
  <c r="AN817" i="1" a="1"/>
  <c r="AN817" i="1" s="1"/>
  <c r="AN818" i="1" a="1"/>
  <c r="AN818" i="1" s="1"/>
  <c r="AN819" i="1" a="1"/>
  <c r="AN819" i="1"/>
  <c r="AN820" i="1" a="1"/>
  <c r="AN820" i="1"/>
  <c r="AN821" i="1" a="1"/>
  <c r="AN821" i="1"/>
  <c r="AN822" i="1" a="1"/>
  <c r="AN822" i="1"/>
  <c r="AN823" i="1" a="1"/>
  <c r="AN823" i="1" s="1"/>
  <c r="AN824" i="1" a="1"/>
  <c r="AN824" i="1" s="1"/>
  <c r="AN825" i="1" a="1"/>
  <c r="AN825" i="1"/>
  <c r="AN826" i="1" a="1"/>
  <c r="AN826" i="1"/>
  <c r="AN827" i="1" a="1"/>
  <c r="AN827" i="1"/>
  <c r="AN828" i="1" a="1"/>
  <c r="AN828" i="1"/>
  <c r="AN829" i="1" a="1"/>
  <c r="AN829" i="1" s="1"/>
  <c r="AN830" i="1" a="1"/>
  <c r="AN830" i="1"/>
  <c r="AN831" i="1" a="1"/>
  <c r="AN831" i="1" s="1"/>
  <c r="AN832" i="1" a="1"/>
  <c r="AN832" i="1"/>
  <c r="AN833" i="1" a="1"/>
  <c r="AN833" i="1"/>
  <c r="AN834" i="1" a="1"/>
  <c r="AN834" i="1"/>
  <c r="AN835" i="1" a="1"/>
  <c r="AN835" i="1" s="1"/>
  <c r="AN836" i="1" a="1"/>
  <c r="AN836" i="1"/>
  <c r="AN837" i="1" a="1"/>
  <c r="AN837" i="1" s="1"/>
  <c r="AN838" i="1" a="1"/>
  <c r="AN838" i="1" s="1"/>
  <c r="AN839" i="1" a="1"/>
  <c r="AN839" i="1"/>
  <c r="AN840" i="1" a="1"/>
  <c r="AN840" i="1"/>
  <c r="AN841" i="1" a="1"/>
  <c r="AN841" i="1" s="1"/>
  <c r="AN842" i="1" a="1"/>
  <c r="AN842" i="1"/>
  <c r="AN843" i="1" a="1"/>
  <c r="AN843" i="1"/>
  <c r="AN844" i="1" a="1"/>
  <c r="AN844" i="1" s="1"/>
  <c r="AN845" i="1" a="1"/>
  <c r="AN845" i="1"/>
  <c r="AN846" i="1" a="1"/>
  <c r="AN846" i="1"/>
  <c r="AN847" i="1" a="1"/>
  <c r="AN847" i="1" s="1"/>
  <c r="AN848" i="1" a="1"/>
  <c r="AN848" i="1"/>
  <c r="AN849" i="1" a="1"/>
  <c r="AN849" i="1"/>
  <c r="AN850" i="1" a="1"/>
  <c r="AN850" i="1" s="1"/>
  <c r="AN851" i="1" a="1"/>
  <c r="AN851" i="1" s="1"/>
  <c r="AN852" i="1" a="1"/>
  <c r="AN852" i="1"/>
  <c r="AN853" i="1" a="1"/>
  <c r="AN853" i="1" s="1"/>
  <c r="AN854" i="1" a="1"/>
  <c r="AN854" i="1" s="1"/>
  <c r="AN855" i="1" a="1"/>
  <c r="AN855" i="1"/>
  <c r="AN856" i="1" a="1"/>
  <c r="AN856" i="1" s="1"/>
  <c r="AN857" i="1" a="1"/>
  <c r="AN857" i="1" s="1"/>
  <c r="AN858" i="1" a="1"/>
  <c r="AN858" i="1" s="1"/>
  <c r="AN859" i="1" a="1"/>
  <c r="AN859" i="1" s="1"/>
  <c r="AN860" i="1" a="1"/>
  <c r="AN860" i="1" s="1"/>
  <c r="AN861" i="1" a="1"/>
  <c r="AN861" i="1"/>
  <c r="AN862" i="1" a="1"/>
  <c r="AN862" i="1"/>
  <c r="AN863" i="1" a="1"/>
  <c r="AN863" i="1" s="1"/>
  <c r="AN864" i="1" a="1"/>
  <c r="AN864" i="1" s="1"/>
  <c r="AN865" i="1" a="1"/>
  <c r="AN865" i="1" s="1"/>
  <c r="AN866" i="1" a="1"/>
  <c r="AN866" i="1" s="1"/>
  <c r="AN867" i="1" a="1"/>
  <c r="AN867" i="1"/>
  <c r="AN868" i="1" a="1"/>
  <c r="AN868" i="1"/>
  <c r="AN869" i="1" a="1"/>
  <c r="AN869" i="1"/>
  <c r="AN870" i="1" a="1"/>
  <c r="AN870" i="1"/>
  <c r="AN871" i="1" a="1"/>
  <c r="AN871" i="1" s="1"/>
  <c r="AN872" i="1" a="1"/>
  <c r="AN872" i="1" s="1"/>
  <c r="AN873" i="1" a="1"/>
  <c r="AN873" i="1" s="1"/>
  <c r="AN874" i="1" a="1"/>
  <c r="AN874" i="1"/>
  <c r="AN875" i="1" a="1"/>
  <c r="AN875" i="1"/>
  <c r="AN876" i="1" a="1"/>
  <c r="AN876" i="1"/>
  <c r="AN877" i="1" a="1"/>
  <c r="AN877" i="1" s="1"/>
  <c r="AN878" i="1" a="1"/>
  <c r="AN878" i="1" s="1"/>
  <c r="AN879" i="1" a="1"/>
  <c r="AN879" i="1" s="1"/>
  <c r="AN880" i="1" a="1"/>
  <c r="AN880" i="1" s="1"/>
  <c r="AN881" i="1" a="1"/>
  <c r="AN881" i="1"/>
  <c r="AN882" i="1" a="1"/>
  <c r="AN882" i="1"/>
  <c r="AN883" i="1" a="1"/>
  <c r="AN883" i="1" s="1"/>
  <c r="AN884" i="1" a="1"/>
  <c r="AN884" i="1" s="1"/>
  <c r="AN885" i="1" a="1"/>
  <c r="AN885" i="1" s="1"/>
  <c r="AN886" i="1" a="1"/>
  <c r="AN886" i="1"/>
  <c r="AN887" i="1" a="1"/>
  <c r="AN887" i="1" s="1"/>
  <c r="AN888" i="1" a="1"/>
  <c r="AN888" i="1" s="1"/>
  <c r="AN889" i="1" a="1"/>
  <c r="AN889" i="1"/>
  <c r="AN890" i="1" a="1"/>
  <c r="AN890" i="1" s="1"/>
  <c r="AN891" i="1" a="1"/>
  <c r="AN891" i="1" s="1"/>
  <c r="AN892" i="1" a="1"/>
  <c r="AN892" i="1"/>
  <c r="AN893" i="1" a="1"/>
  <c r="AN893" i="1"/>
  <c r="AN894" i="1" a="1"/>
  <c r="AN894" i="1" s="1"/>
  <c r="AN895" i="1" a="1"/>
  <c r="AN895" i="1" s="1"/>
  <c r="AN896" i="1" a="1"/>
  <c r="AN896" i="1" s="1"/>
  <c r="AN897" i="1" a="1"/>
  <c r="AN897" i="1" s="1"/>
  <c r="AN898" i="1" a="1"/>
  <c r="AN898" i="1"/>
  <c r="AN899" i="1" a="1"/>
  <c r="AN899" i="1"/>
  <c r="AN900" i="1" a="1"/>
  <c r="AN900" i="1" s="1"/>
  <c r="AN901" i="1" a="1"/>
  <c r="AN901" i="1"/>
  <c r="AN902" i="1" a="1"/>
  <c r="AN902" i="1" s="1"/>
  <c r="AN903" i="1" a="1"/>
  <c r="AN903" i="1" s="1"/>
  <c r="AN904" i="1" a="1"/>
  <c r="AN904" i="1" s="1"/>
  <c r="AN905" i="1" a="1"/>
  <c r="AN905" i="1"/>
  <c r="AN906" i="1" a="1"/>
  <c r="AN906" i="1"/>
  <c r="AN907" i="1" a="1"/>
  <c r="AN907" i="1"/>
  <c r="AN908" i="1" a="1"/>
  <c r="AN908" i="1" s="1"/>
  <c r="AN909" i="1" a="1"/>
  <c r="AN909" i="1" s="1"/>
  <c r="AN910" i="1" a="1"/>
  <c r="AN910" i="1" s="1"/>
  <c r="AN911" i="1" a="1"/>
  <c r="AN911" i="1"/>
  <c r="AN912" i="1" a="1"/>
  <c r="AN912" i="1"/>
  <c r="AN913" i="1" a="1"/>
  <c r="AN913" i="1" s="1"/>
  <c r="AN914" i="1" a="1"/>
  <c r="AN914" i="1"/>
  <c r="AN915" i="1" a="1"/>
  <c r="AN915" i="1" s="1"/>
  <c r="AN916" i="1" a="1"/>
  <c r="AN916" i="1" s="1"/>
  <c r="AN917" i="1" a="1"/>
  <c r="AN917" i="1" s="1"/>
  <c r="AN918" i="1" a="1"/>
  <c r="AN918" i="1" s="1"/>
  <c r="AN919" i="1" a="1"/>
  <c r="AN919" i="1"/>
  <c r="AN920" i="1" a="1"/>
  <c r="AN920" i="1"/>
  <c r="AN921" i="1" a="1"/>
  <c r="AN921" i="1" s="1"/>
  <c r="AN922" i="1" a="1"/>
  <c r="AN922" i="1"/>
  <c r="AN923" i="1" a="1"/>
  <c r="AN923" i="1" s="1"/>
  <c r="AN924" i="1" a="1"/>
  <c r="AN924" i="1"/>
  <c r="AN925" i="1" a="1"/>
  <c r="AN925" i="1" s="1"/>
  <c r="AN926" i="1" a="1"/>
  <c r="AN926" i="1" s="1"/>
  <c r="AN927" i="1" a="1"/>
  <c r="AN927" i="1" s="1"/>
  <c r="AN928" i="1" a="1"/>
  <c r="AN928" i="1"/>
  <c r="AN929" i="1" a="1"/>
  <c r="AN929" i="1" s="1"/>
  <c r="AN930" i="1" a="1"/>
  <c r="AN930" i="1" s="1"/>
  <c r="AN931" i="1" a="1"/>
  <c r="AN931" i="1"/>
  <c r="AN932" i="1" a="1"/>
  <c r="AN932" i="1"/>
  <c r="AN933" i="1" a="1"/>
  <c r="AN933" i="1" s="1"/>
  <c r="AN934" i="1" a="1"/>
  <c r="AN934" i="1"/>
  <c r="AN935" i="1" a="1"/>
  <c r="AN935" i="1"/>
  <c r="AN936" i="1" a="1"/>
  <c r="AN936" i="1" s="1"/>
  <c r="AN937" i="1" a="1"/>
  <c r="AN937" i="1"/>
  <c r="AN938" i="1" a="1"/>
  <c r="AN938" i="1"/>
  <c r="AN939" i="1" a="1"/>
  <c r="AN939" i="1" s="1"/>
  <c r="AN940" i="1" a="1"/>
  <c r="AN940" i="1" s="1"/>
  <c r="AN941" i="1" a="1"/>
  <c r="AN941" i="1" s="1"/>
  <c r="AN942" i="1" a="1"/>
  <c r="AN942" i="1" s="1"/>
  <c r="AN943" i="1" a="1"/>
  <c r="AN943" i="1" s="1"/>
  <c r="AN944" i="1" a="1"/>
  <c r="AN944" i="1"/>
  <c r="AN945" i="1" a="1"/>
  <c r="AN945" i="1" s="1"/>
  <c r="AN946" i="1" a="1"/>
  <c r="AN946" i="1" s="1"/>
  <c r="AN947" i="1" a="1"/>
  <c r="AN947" i="1" s="1"/>
  <c r="AN948" i="1" a="1"/>
  <c r="AN948" i="1" s="1"/>
  <c r="AN949" i="1" a="1"/>
  <c r="AN949" i="1" s="1"/>
  <c r="AN950" i="1" a="1"/>
  <c r="AN950" i="1"/>
  <c r="AN951" i="1" a="1"/>
  <c r="AN951" i="1" s="1"/>
  <c r="AN952" i="1" a="1"/>
  <c r="AN952" i="1"/>
  <c r="AN953" i="1" a="1"/>
  <c r="AN953" i="1"/>
  <c r="AN954" i="1" a="1"/>
  <c r="AN954" i="1"/>
  <c r="AN955" i="1" a="1"/>
  <c r="AN955" i="1" s="1"/>
  <c r="AN956" i="1" a="1"/>
  <c r="AN956" i="1" s="1"/>
  <c r="AN957" i="1" a="1"/>
  <c r="AN957" i="1" s="1"/>
  <c r="AN958" i="1" a="1"/>
  <c r="AN958" i="1"/>
  <c r="AN959" i="1" a="1"/>
  <c r="AN959" i="1" s="1"/>
  <c r="AN960" i="1" a="1"/>
  <c r="AN960" i="1"/>
  <c r="AN961" i="1" a="1"/>
  <c r="AN961" i="1"/>
  <c r="AN962" i="1" a="1"/>
  <c r="AN962" i="1" s="1"/>
  <c r="AN963" i="1" a="1"/>
  <c r="AN963" i="1" s="1"/>
  <c r="AN964" i="1" a="1"/>
  <c r="AN964" i="1" s="1"/>
  <c r="AN965" i="1" a="1"/>
  <c r="AN965" i="1" s="1"/>
  <c r="AN966" i="1" a="1"/>
  <c r="AN966" i="1"/>
  <c r="AN967" i="1" a="1"/>
  <c r="AN967" i="1"/>
  <c r="AN968" i="1" a="1"/>
  <c r="AN968" i="1" s="1"/>
  <c r="AN969" i="1" a="1"/>
  <c r="AN969" i="1" s="1"/>
  <c r="AN970" i="1" a="1"/>
  <c r="AN970" i="1"/>
  <c r="AN971" i="1" a="1"/>
  <c r="AN971" i="1" s="1"/>
  <c r="AN972" i="1" a="1"/>
  <c r="AN972" i="1" s="1"/>
  <c r="AN973" i="1" a="1"/>
  <c r="AN973" i="1"/>
  <c r="AN974" i="1" a="1"/>
  <c r="AN974" i="1"/>
  <c r="AN975" i="1" a="1"/>
  <c r="AN975" i="1" s="1"/>
  <c r="AN976" i="1" a="1"/>
  <c r="AN976" i="1" s="1"/>
  <c r="AN977" i="1" a="1"/>
  <c r="AN977" i="1"/>
  <c r="AN978" i="1" a="1"/>
  <c r="AN978" i="1"/>
  <c r="AN979" i="1" a="1"/>
  <c r="AN979" i="1" s="1"/>
  <c r="AN980" i="1" a="1"/>
  <c r="AN980" i="1"/>
  <c r="AN981" i="1" a="1"/>
  <c r="AN981" i="1" s="1"/>
  <c r="AN982" i="1" a="1"/>
  <c r="AN982" i="1" s="1"/>
  <c r="AN983" i="1" a="1"/>
  <c r="AN983" i="1"/>
  <c r="AN984" i="1" a="1"/>
  <c r="AN984" i="1"/>
  <c r="AN985" i="1" a="1"/>
  <c r="AN985" i="1" s="1"/>
  <c r="AN986" i="1" a="1"/>
  <c r="AN986" i="1" s="1"/>
  <c r="AN987" i="1" a="1"/>
  <c r="AN987" i="1" s="1"/>
  <c r="AN988" i="1" a="1"/>
  <c r="AN988" i="1" s="1"/>
  <c r="AN989" i="1" a="1"/>
  <c r="AN989" i="1" s="1"/>
  <c r="AN990" i="1" a="1"/>
  <c r="AN990" i="1"/>
  <c r="AN991" i="1" a="1"/>
  <c r="AN991" i="1"/>
  <c r="AN992" i="1" a="1"/>
  <c r="AN992" i="1"/>
  <c r="AN993" i="1" a="1"/>
  <c r="AN993" i="1" s="1"/>
  <c r="AN994" i="1" a="1"/>
  <c r="AN994" i="1" s="1"/>
  <c r="AN995" i="1" a="1"/>
  <c r="AN995" i="1" s="1"/>
  <c r="AN996" i="1" a="1"/>
  <c r="AN996" i="1"/>
  <c r="AN997" i="1" a="1"/>
  <c r="AN997" i="1"/>
  <c r="AN998" i="1" a="1"/>
  <c r="AN998" i="1" s="1"/>
  <c r="AN999" i="1" a="1"/>
  <c r="AN999" i="1" s="1"/>
  <c r="AN1000" i="1" a="1"/>
  <c r="AN1000" i="1"/>
  <c r="AN1001" i="1" a="1"/>
  <c r="AN1001" i="1" s="1"/>
  <c r="AN1002" i="1" a="1"/>
  <c r="AN1002" i="1" s="1"/>
  <c r="AN1003" i="1" a="1"/>
  <c r="AN1003" i="1" s="1"/>
  <c r="AN1004" i="1" a="1"/>
  <c r="AN1004" i="1"/>
  <c r="AN1005" i="1" a="1"/>
  <c r="AN1005" i="1" s="1"/>
  <c r="AN1006" i="1" a="1"/>
  <c r="AN1006" i="1"/>
  <c r="AN1007" i="1" a="1"/>
  <c r="AN1007" i="1"/>
  <c r="AN1008" i="1" a="1"/>
  <c r="AN1008" i="1" s="1"/>
  <c r="AN1009" i="1" a="1"/>
  <c r="AN1009" i="1"/>
  <c r="AN1010" i="1" a="1"/>
  <c r="AN1010" i="1" s="1"/>
  <c r="AN1011" i="1" a="1"/>
  <c r="AN1011" i="1" s="1"/>
  <c r="AN1012" i="1" a="1"/>
  <c r="AN1012" i="1"/>
  <c r="AN1013" i="1" a="1"/>
  <c r="AN1013" i="1"/>
  <c r="AN1014" i="1" a="1"/>
  <c r="AN1014" i="1" s="1"/>
  <c r="AN1015" i="1" a="1"/>
  <c r="AN1015" i="1" s="1"/>
  <c r="AN1016" i="1" a="1"/>
  <c r="AN1016" i="1"/>
  <c r="AN1017" i="1" a="1"/>
  <c r="AN1017" i="1" s="1"/>
  <c r="AN1018" i="1" a="1"/>
  <c r="AN1018" i="1" s="1"/>
  <c r="AN1019" i="1" a="1"/>
  <c r="AN1019" i="1"/>
  <c r="AN1020" i="1" a="1"/>
  <c r="AN1020" i="1"/>
  <c r="AN1021" i="1" a="1"/>
  <c r="AN1021" i="1" s="1"/>
  <c r="AN1022" i="1" a="1"/>
  <c r="AN1022" i="1"/>
  <c r="AN1023" i="1" a="1"/>
  <c r="AN1023" i="1" s="1"/>
  <c r="AN1024" i="1" a="1"/>
  <c r="AN1024" i="1"/>
  <c r="AN1025" i="1" a="1"/>
  <c r="AN1025" i="1" s="1"/>
  <c r="AN1026" i="1" a="1"/>
  <c r="AN1026" i="1" s="1"/>
  <c r="AN1027" i="1" a="1"/>
  <c r="AN1027" i="1" s="1"/>
  <c r="AN1028" i="1" a="1"/>
  <c r="AN1028" i="1" s="1"/>
  <c r="AN1029" i="1" a="1"/>
  <c r="AN1029" i="1" s="1"/>
  <c r="AN1030" i="1" a="1"/>
  <c r="AN1030" i="1"/>
  <c r="AN1031" i="1" a="1"/>
  <c r="AN1031" i="1" s="1"/>
  <c r="AN1032" i="1" a="1"/>
  <c r="AN1032" i="1"/>
  <c r="AN1033" i="1" a="1"/>
  <c r="AN1033" i="1" s="1"/>
  <c r="AN1034" i="1" a="1"/>
  <c r="AN1034" i="1" s="1"/>
  <c r="AN1035" i="1" a="1"/>
  <c r="AN1035" i="1" s="1"/>
  <c r="AN1036" i="1" a="1"/>
  <c r="AN1036" i="1"/>
  <c r="AN1037" i="1" a="1"/>
  <c r="AN1037" i="1"/>
  <c r="AN1038" i="1" a="1"/>
  <c r="AN1038" i="1"/>
  <c r="AN1039" i="1" a="1"/>
  <c r="AN1039" i="1" s="1"/>
  <c r="AN1040" i="1" a="1"/>
  <c r="AN1040" i="1" s="1"/>
  <c r="AN1041" i="1" a="1"/>
  <c r="AN1041" i="1" s="1"/>
  <c r="AN1042" i="1" a="1"/>
  <c r="AN1042" i="1" s="1"/>
  <c r="AN1043" i="1" a="1"/>
  <c r="AN1043" i="1"/>
  <c r="AN1044" i="1" a="1"/>
  <c r="AN1044" i="1" s="1"/>
  <c r="AN1045" i="1" a="1"/>
  <c r="AN1045" i="1"/>
  <c r="AN1046" i="1" a="1"/>
  <c r="AN1046" i="1"/>
  <c r="AN1047" i="1" a="1"/>
  <c r="AN1047" i="1" s="1"/>
  <c r="AN1048" i="1" a="1"/>
  <c r="AN1048" i="1" s="1"/>
  <c r="AN1049" i="1" a="1"/>
  <c r="AN1049" i="1" s="1"/>
  <c r="AN1050" i="1" a="1"/>
  <c r="AN1050" i="1"/>
  <c r="AN1051" i="1" a="1"/>
  <c r="AN1051" i="1"/>
  <c r="AN1052" i="1" a="1"/>
  <c r="AN1052" i="1"/>
  <c r="AN1053" i="1" a="1"/>
  <c r="AN1053" i="1" s="1"/>
  <c r="AN1054" i="1" a="1"/>
  <c r="AN1054" i="1" s="1"/>
  <c r="AN1055" i="1" a="1"/>
  <c r="AN1055" i="1"/>
  <c r="AN1056" i="1" a="1"/>
  <c r="AN1056" i="1" s="1"/>
  <c r="AN1057" i="1" a="1"/>
  <c r="AN1057" i="1" s="1"/>
  <c r="AN1058" i="1" a="1"/>
  <c r="AN1058" i="1"/>
  <c r="AN1059" i="1" a="1"/>
  <c r="AN1059" i="1" s="1"/>
  <c r="AN1060" i="1" a="1"/>
  <c r="AN1060" i="1" s="1"/>
  <c r="AN1061" i="1" a="1"/>
  <c r="AN1061" i="1" s="1"/>
  <c r="AN1062" i="1" a="1"/>
  <c r="AN1062" i="1"/>
  <c r="AN1063" i="1" a="1"/>
  <c r="AN1063" i="1"/>
  <c r="AN1064" i="1" a="1"/>
  <c r="AN1064" i="1" s="1"/>
  <c r="AN1065" i="1" a="1"/>
  <c r="AN1065" i="1" s="1"/>
  <c r="AN1066" i="1" a="1"/>
  <c r="AN1066" i="1"/>
  <c r="AN1067" i="1" a="1"/>
  <c r="AN1067" i="1" s="1"/>
  <c r="AN1068" i="1" a="1"/>
  <c r="AN1068" i="1"/>
  <c r="AN1069" i="1" a="1"/>
  <c r="AN1069" i="1"/>
  <c r="AN1070" i="1" a="1"/>
  <c r="AN1070" i="1" s="1"/>
  <c r="AN1071" i="1" a="1"/>
  <c r="AN1071" i="1" s="1"/>
  <c r="AN1072" i="1" a="1"/>
  <c r="AN1072" i="1" s="1"/>
  <c r="AN1073" i="1" a="1"/>
  <c r="AN1073" i="1" s="1"/>
  <c r="AN1074" i="1" a="1"/>
  <c r="AN1074" i="1" s="1"/>
  <c r="AN1075" i="1" a="1"/>
  <c r="AN1075" i="1"/>
  <c r="AN1076" i="1" a="1"/>
  <c r="AN1076" i="1"/>
  <c r="AN1077" i="1" a="1"/>
  <c r="AN1077" i="1" s="1"/>
  <c r="AN1078" i="1" a="1"/>
  <c r="AN1078" i="1"/>
  <c r="AN1079" i="1" a="1"/>
  <c r="AN1079" i="1" s="1"/>
  <c r="AN1080" i="1" a="1"/>
  <c r="AN1080" i="1" s="1"/>
  <c r="AN1081" i="1" a="1"/>
  <c r="AN1081" i="1"/>
  <c r="AN1082" i="1" a="1"/>
  <c r="AN1082" i="1"/>
  <c r="AN1083" i="1" a="1"/>
  <c r="AN1083" i="1" s="1"/>
  <c r="AN1084" i="1" a="1"/>
  <c r="AN1084" i="1"/>
  <c r="AN1085" i="1" a="1"/>
  <c r="AN1085" i="1" s="1"/>
  <c r="AN1086" i="1" a="1"/>
  <c r="AN1086" i="1" s="1"/>
  <c r="AN1087" i="1" a="1"/>
  <c r="AN1087" i="1" s="1"/>
  <c r="AN1088" i="1" a="1"/>
  <c r="AN1088" i="1"/>
  <c r="AN1089" i="1" a="1"/>
  <c r="AN1089" i="1" s="1"/>
  <c r="AN1090" i="1" a="1"/>
  <c r="AN1090" i="1" s="1"/>
  <c r="AN1091" i="1" a="1"/>
  <c r="AN1091" i="1"/>
  <c r="AN1092" i="1" a="1"/>
  <c r="AN1092" i="1"/>
  <c r="AN1093" i="1" a="1"/>
  <c r="AN1093" i="1" s="1"/>
  <c r="AN1094" i="1" a="1"/>
  <c r="AN1094" i="1"/>
  <c r="AN1095" i="1" a="1"/>
  <c r="AN1095" i="1" s="1"/>
  <c r="AN1096" i="1" a="1"/>
  <c r="AN1096" i="1"/>
  <c r="AN1097" i="1" a="1"/>
  <c r="AN1097" i="1"/>
  <c r="AN1098" i="1" a="1"/>
  <c r="AN1098" i="1"/>
  <c r="AN1099" i="1" a="1"/>
  <c r="AN1099" i="1" s="1"/>
  <c r="AN1100" i="1" a="1"/>
  <c r="AN1100" i="1" s="1"/>
  <c r="AN1101" i="1" a="1"/>
  <c r="AN1101" i="1" s="1"/>
  <c r="AN1102" i="1" a="1"/>
  <c r="AN1102" i="1"/>
  <c r="AN1103" i="1" a="1"/>
  <c r="AN1103" i="1" s="1"/>
  <c r="AN1104" i="1" a="1"/>
  <c r="AN1104" i="1" s="1"/>
  <c r="AN1105" i="1" a="1"/>
  <c r="AN1105" i="1"/>
  <c r="AN1106" i="1" a="1"/>
  <c r="AN1106" i="1" s="1"/>
  <c r="AN1107" i="1" a="1"/>
  <c r="AN1107" i="1" s="1"/>
  <c r="AN1108" i="1" a="1"/>
  <c r="AN1108" i="1"/>
  <c r="AN1109" i="1" a="1"/>
  <c r="AN1109" i="1"/>
  <c r="AN1110" i="1" a="1"/>
  <c r="AN1110" i="1" s="1"/>
  <c r="AN1111" i="1" a="1"/>
  <c r="AN1111" i="1" s="1"/>
  <c r="AN1112" i="1" a="1"/>
  <c r="AN1112" i="1" s="1"/>
  <c r="AN1113" i="1" a="1"/>
  <c r="AN1113" i="1" s="1"/>
  <c r="AN1114" i="1" a="1"/>
  <c r="AN1114" i="1"/>
  <c r="AN1115" i="1" a="1"/>
  <c r="AN1115" i="1"/>
  <c r="AN1116" i="1" a="1"/>
  <c r="AN1116" i="1" s="1"/>
  <c r="AN1117" i="1" a="1"/>
  <c r="AN1117" i="1"/>
  <c r="AN1118" i="1" a="1"/>
  <c r="AN1118" i="1" s="1"/>
  <c r="AN1119" i="1" a="1"/>
  <c r="AN1119" i="1" s="1"/>
  <c r="AN1120" i="1" a="1"/>
  <c r="AN1120" i="1" s="1"/>
  <c r="AN1121" i="1" a="1"/>
  <c r="AN1121" i="1"/>
  <c r="AN1122" i="1" a="1"/>
  <c r="AN1122" i="1"/>
  <c r="AN1123" i="1" a="1"/>
  <c r="AN1123" i="1"/>
  <c r="AN1124" i="1" a="1"/>
  <c r="AN1124" i="1"/>
  <c r="AN1125" i="1" a="1"/>
  <c r="AN1125" i="1" s="1"/>
  <c r="AN1126" i="1" a="1"/>
  <c r="AN1126" i="1" s="1"/>
  <c r="AN1127" i="1" a="1"/>
  <c r="AN1127" i="1"/>
  <c r="AN1128" i="1" a="1"/>
  <c r="AN1128" i="1"/>
  <c r="AN1129" i="1" a="1"/>
  <c r="AN1129" i="1" s="1"/>
  <c r="AN1130" i="1" a="1"/>
  <c r="AN1130" i="1"/>
  <c r="AN1131" i="1" a="1"/>
  <c r="AN1131" i="1" s="1"/>
  <c r="AN1132" i="1" a="1"/>
  <c r="AN1132" i="1" s="1"/>
  <c r="AN1133" i="1" a="1"/>
  <c r="AN1133" i="1" s="1"/>
  <c r="AN1134" i="1" a="1"/>
  <c r="AN1134" i="1" s="1"/>
  <c r="AN1135" i="1" a="1"/>
  <c r="AN1135" i="1"/>
  <c r="AN1136" i="1" a="1"/>
  <c r="AN1136" i="1"/>
  <c r="AN1137" i="1" a="1"/>
  <c r="AN1137" i="1" s="1"/>
  <c r="AN1138" i="1" a="1"/>
  <c r="AN1138" i="1"/>
  <c r="AN1139" i="1" a="1"/>
  <c r="AN1139" i="1" s="1"/>
  <c r="AN1140" i="1" a="1"/>
  <c r="AN1140" i="1" s="1"/>
  <c r="AN1141" i="1" a="1"/>
  <c r="AN1141" i="1" s="1"/>
  <c r="AN1142" i="1" a="1"/>
  <c r="AN1142" i="1" s="1"/>
  <c r="AN1143" i="1" a="1"/>
  <c r="AN1143" i="1" s="1"/>
  <c r="AN1144" i="1" a="1"/>
  <c r="AN1144" i="1"/>
  <c r="AN1145" i="1" a="1"/>
  <c r="AN1145" i="1" s="1"/>
  <c r="AN1146" i="1" a="1"/>
  <c r="AN1146" i="1" s="1"/>
  <c r="AN1147" i="1" a="1"/>
  <c r="AN1147" i="1"/>
  <c r="AN1148" i="1" a="1"/>
  <c r="AN1148" i="1"/>
  <c r="AN1149" i="1" a="1"/>
  <c r="AN1149" i="1" s="1"/>
  <c r="AN1150" i="1" a="1"/>
  <c r="AN1150" i="1"/>
  <c r="AN1151" i="1" a="1"/>
  <c r="AN1151" i="1"/>
  <c r="AN1152" i="1" a="1"/>
  <c r="AN1152" i="1" s="1"/>
  <c r="AN1153" i="1" a="1"/>
  <c r="AN1153" i="1"/>
  <c r="AN1154" i="1" a="1"/>
  <c r="AN1154" i="1"/>
  <c r="AN1155" i="1" a="1"/>
  <c r="AN1155" i="1" s="1"/>
  <c r="AN1156" i="1" a="1"/>
  <c r="AN1156" i="1" s="1"/>
  <c r="AN1157" i="1" a="1"/>
  <c r="AN1157" i="1" s="1"/>
  <c r="AN1158" i="1" a="1"/>
  <c r="AN1158" i="1" s="1"/>
  <c r="AN1159" i="1" a="1"/>
  <c r="AN1159" i="1" s="1"/>
  <c r="AN1160" i="1" a="1"/>
  <c r="AN1160" i="1"/>
  <c r="AN1161" i="1" a="1"/>
  <c r="AN1161" i="1" s="1"/>
  <c r="AN1162" i="1" a="1"/>
  <c r="AN1162" i="1" s="1"/>
  <c r="AN1163" i="1" a="1"/>
  <c r="AN1163" i="1"/>
  <c r="AN1164" i="1" a="1"/>
  <c r="AN1164" i="1" s="1"/>
  <c r="AN1165" i="1" a="1"/>
  <c r="AN1165" i="1" s="1"/>
  <c r="AN1166" i="1" a="1"/>
  <c r="AN1166" i="1"/>
  <c r="AN1167" i="1" a="1"/>
  <c r="AN1167" i="1" s="1"/>
  <c r="AN1168" i="1" a="1"/>
  <c r="AN1168" i="1"/>
  <c r="AN1169" i="1" a="1"/>
  <c r="AN1169" i="1"/>
  <c r="AN1170" i="1" a="1"/>
  <c r="AN1170" i="1"/>
  <c r="AN1171" i="1" a="1"/>
  <c r="AN1171" i="1" s="1"/>
  <c r="AN1172" i="1" a="1"/>
  <c r="AN1172" i="1" s="1"/>
  <c r="AN1173" i="1" a="1"/>
  <c r="AN1173" i="1" s="1"/>
  <c r="AN1174" i="1" a="1"/>
  <c r="AN1174" i="1"/>
  <c r="AN1175" i="1" a="1"/>
  <c r="AN1175" i="1" s="1"/>
  <c r="AN1176" i="1" a="1"/>
  <c r="AN1176" i="1"/>
  <c r="AN1177" i="1" a="1"/>
  <c r="AN1177" i="1"/>
  <c r="AN1178" i="1" a="1"/>
  <c r="AN1178" i="1" s="1"/>
  <c r="AN1179" i="1" a="1"/>
  <c r="AN1179" i="1" s="1"/>
  <c r="AN1180" i="1" a="1"/>
  <c r="AN1180" i="1" s="1"/>
  <c r="AN1181" i="1" a="1"/>
  <c r="AN1181" i="1" s="1"/>
  <c r="AN1182" i="1" a="1"/>
  <c r="AN1182" i="1"/>
  <c r="AN1183" i="1" a="1"/>
  <c r="AN1183" i="1"/>
  <c r="AN1184" i="1" a="1"/>
  <c r="AN1184" i="1" s="1"/>
  <c r="AN1185" i="1" a="1"/>
  <c r="AN1185" i="1" s="1"/>
  <c r="AN1186" i="1" a="1"/>
  <c r="AN1186" i="1"/>
  <c r="AN1187" i="1" a="1"/>
  <c r="AN1187" i="1" s="1"/>
  <c r="AN1188" i="1" a="1"/>
  <c r="AN1188" i="1" s="1"/>
  <c r="AN1189" i="1" a="1"/>
  <c r="AN1189" i="1"/>
  <c r="AN1190" i="1" a="1"/>
  <c r="AN1190" i="1"/>
  <c r="AN1191" i="1" a="1"/>
  <c r="AN1191" i="1" s="1"/>
  <c r="AN1192" i="1" a="1"/>
  <c r="AN1192" i="1" s="1"/>
  <c r="AN1193" i="1" a="1"/>
  <c r="AN1193" i="1"/>
  <c r="AN1194" i="1" a="1"/>
  <c r="AN1194" i="1"/>
  <c r="AN1195" i="1" a="1"/>
  <c r="AN1195" i="1" s="1"/>
  <c r="AN1196" i="1" a="1"/>
  <c r="AN1196" i="1"/>
  <c r="AN1197" i="1" a="1"/>
  <c r="AN1197" i="1" s="1"/>
  <c r="AN1198" i="1" a="1"/>
  <c r="AN1198" i="1" s="1"/>
  <c r="AN1199" i="1" a="1"/>
  <c r="AN1199" i="1"/>
  <c r="AN1200" i="1" a="1"/>
  <c r="AN1200" i="1"/>
  <c r="AN1201" i="1" a="1"/>
  <c r="AN1201" i="1" s="1"/>
  <c r="AN1202" i="1" a="1"/>
  <c r="AN1202" i="1" s="1"/>
  <c r="AN1203" i="1" a="1"/>
  <c r="AN1203" i="1" s="1"/>
  <c r="AN1204" i="1" a="1"/>
  <c r="AN1204" i="1" s="1"/>
  <c r="AN1205" i="1" a="1"/>
  <c r="AN1205" i="1" s="1"/>
  <c r="AN1206" i="1" a="1"/>
  <c r="AN1206" i="1"/>
  <c r="AN1207" i="1" a="1"/>
  <c r="AN1207" i="1"/>
  <c r="AN1208" i="1" a="1"/>
  <c r="AN1208" i="1"/>
  <c r="AN1209" i="1" a="1"/>
  <c r="AN1209" i="1" s="1"/>
  <c r="AN1210" i="1" a="1"/>
  <c r="AN1210" i="1" s="1"/>
  <c r="AN1211" i="1" a="1"/>
  <c r="AN1211" i="1" s="1"/>
  <c r="AN1212" i="1" a="1"/>
  <c r="AN1212" i="1"/>
  <c r="AN1213" i="1" a="1"/>
  <c r="AN1213" i="1"/>
  <c r="AN1214" i="1" a="1"/>
  <c r="AN1214" i="1" s="1"/>
  <c r="AN1215" i="1" a="1"/>
  <c r="AN1215" i="1" s="1"/>
  <c r="AN1216" i="1" a="1"/>
  <c r="AN1216" i="1"/>
  <c r="AN1217" i="1" a="1"/>
  <c r="AN1217" i="1" s="1"/>
  <c r="AN1218" i="1" a="1"/>
  <c r="AN1218" i="1" s="1"/>
  <c r="AN1219" i="1" a="1"/>
  <c r="AN1219" i="1" s="1"/>
  <c r="AN1220" i="1" a="1"/>
  <c r="AN1220" i="1"/>
  <c r="AN1221" i="1" a="1"/>
  <c r="AN1221" i="1" s="1"/>
  <c r="AN1222" i="1" a="1"/>
  <c r="AN1222" i="1"/>
  <c r="AN1223" i="1" a="1"/>
  <c r="AN1223" i="1"/>
  <c r="AN1224" i="1" a="1"/>
  <c r="AN1224" i="1" s="1"/>
  <c r="AN1225" i="1" a="1"/>
  <c r="AN1225" i="1"/>
  <c r="AN1226" i="1" a="1"/>
  <c r="AN1226" i="1" s="1"/>
  <c r="AN1227" i="1" a="1"/>
  <c r="AN1227" i="1" s="1"/>
  <c r="AN1228" i="1" a="1"/>
  <c r="AN1228" i="1"/>
  <c r="AN1229" i="1" a="1"/>
  <c r="AN1229" i="1"/>
  <c r="AN1230" i="1" a="1"/>
  <c r="AN1230" i="1" s="1"/>
  <c r="AN1231" i="1" a="1"/>
  <c r="AN1231" i="1" s="1"/>
  <c r="AN1232" i="1" a="1"/>
  <c r="AN1232" i="1"/>
  <c r="AN1233" i="1" a="1"/>
  <c r="AN1233" i="1" s="1"/>
  <c r="AN1234" i="1" a="1"/>
  <c r="AN1234" i="1" s="1"/>
  <c r="AN1235" i="1" a="1"/>
  <c r="AN1235" i="1" s="1"/>
  <c r="AN1236" i="1" a="1"/>
  <c r="AN1236" i="1"/>
  <c r="AN1237" i="1" a="1"/>
  <c r="AN1237" i="1" s="1"/>
  <c r="AN1238" i="1" a="1"/>
  <c r="AN1238" i="1"/>
  <c r="AN1239" i="1" a="1"/>
  <c r="AN1239" i="1" s="1"/>
  <c r="AN1240" i="1" a="1"/>
  <c r="AN1240" i="1" s="1"/>
  <c r="AN1241" i="1" a="1"/>
  <c r="AN1241" i="1" s="1"/>
  <c r="AN1242" i="1" a="1"/>
  <c r="AN1242" i="1" s="1"/>
  <c r="AN1243" i="1" a="1"/>
  <c r="AN1243" i="1" s="1"/>
  <c r="AN1244" i="1" a="1"/>
  <c r="AN1244" i="1" s="1"/>
  <c r="AN1245" i="1" a="1"/>
  <c r="AN1245" i="1" s="1"/>
  <c r="AN1246" i="1" a="1"/>
  <c r="AN1246" i="1"/>
  <c r="AN1247" i="1" a="1"/>
  <c r="AN1247" i="1" s="1"/>
  <c r="AN1248" i="1" a="1"/>
  <c r="AN1248" i="1"/>
  <c r="AN1249" i="1" a="1"/>
  <c r="AN1249" i="1" s="1"/>
  <c r="AN1250" i="1" a="1"/>
  <c r="AN1250" i="1" s="1"/>
  <c r="AN1251" i="1" a="1"/>
  <c r="AN1251" i="1" s="1"/>
  <c r="AN1252" i="1" a="1"/>
  <c r="AN1252" i="1"/>
  <c r="AN1253" i="1" a="1"/>
  <c r="AN1253" i="1"/>
  <c r="AN1254" i="1" a="1"/>
  <c r="AN1254" i="1"/>
  <c r="AN1255" i="1" a="1"/>
  <c r="AN1255" i="1"/>
  <c r="AN1256" i="1" a="1"/>
  <c r="AN1256" i="1" s="1"/>
  <c r="AN1257" i="1" a="1"/>
  <c r="AN1257" i="1" s="1"/>
  <c r="AN1258" i="1" a="1"/>
  <c r="AN1258" i="1" s="1"/>
  <c r="AN1259" i="1" a="1"/>
  <c r="AN1259" i="1"/>
  <c r="AN1260" i="1" a="1"/>
  <c r="AN1260" i="1" s="1"/>
  <c r="AN1261" i="1" a="1"/>
  <c r="AN1261" i="1"/>
  <c r="AN1262" i="1" a="1"/>
  <c r="AN1262" i="1"/>
  <c r="AN1263" i="1" a="1"/>
  <c r="AN1263" i="1" s="1"/>
  <c r="AN1264" i="1" a="1"/>
  <c r="AN1264" i="1" s="1"/>
  <c r="AN1265" i="1" a="1"/>
  <c r="AN1265" i="1" s="1"/>
  <c r="AN1266" i="1" a="1"/>
  <c r="AN1266" i="1"/>
  <c r="AN1267" i="1" a="1"/>
  <c r="AN1267" i="1"/>
  <c r="AN1268" i="1" a="1"/>
  <c r="AN1268" i="1"/>
  <c r="AN1269" i="1" a="1"/>
  <c r="AN1269" i="1" s="1"/>
  <c r="AN1270" i="1" a="1"/>
  <c r="AN1270" i="1" s="1"/>
  <c r="AN1271" i="1" a="1"/>
  <c r="AN1271" i="1"/>
  <c r="AN1272" i="1" a="1"/>
  <c r="AN1272" i="1" s="1"/>
  <c r="AN1273" i="1" a="1"/>
  <c r="AN1273" i="1" s="1"/>
  <c r="AN1274" i="1" a="1"/>
  <c r="AN1274" i="1"/>
  <c r="AN1275" i="1" a="1"/>
  <c r="AN1275" i="1" s="1"/>
  <c r="AN1276" i="1" a="1"/>
  <c r="AN1276" i="1" s="1"/>
  <c r="AN1277" i="1" a="1"/>
  <c r="AN1277" i="1" s="1"/>
  <c r="AN1278" i="1" a="1"/>
  <c r="AN1278" i="1"/>
  <c r="AN1279" i="1" a="1"/>
  <c r="AN1279" i="1"/>
  <c r="AN1280" i="1" a="1"/>
  <c r="AN1280" i="1" s="1"/>
  <c r="AN1281" i="1" a="1"/>
  <c r="AN1281" i="1" s="1"/>
  <c r="AN1282" i="1" a="1"/>
  <c r="AN1282" i="1"/>
  <c r="AN1283" i="1" a="1"/>
  <c r="AN1283" i="1" s="1"/>
  <c r="AN1284" i="1" a="1"/>
  <c r="AN1284" i="1"/>
  <c r="AN1285" i="1" a="1"/>
  <c r="AN1285" i="1"/>
  <c r="AN1286" i="1" a="1"/>
  <c r="AN1286" i="1" s="1"/>
  <c r="AN1287" i="1" a="1"/>
  <c r="AN1287" i="1" s="1"/>
  <c r="AN1288" i="1" a="1"/>
  <c r="AN1288" i="1" s="1"/>
  <c r="AN1289" i="1" a="1"/>
  <c r="AN1289" i="1" s="1"/>
  <c r="AN1290" i="1" a="1"/>
  <c r="AN1290" i="1" s="1"/>
  <c r="AN1291" i="1" a="1"/>
  <c r="AN1291" i="1"/>
  <c r="AN1292" i="1" a="1"/>
  <c r="AN1292" i="1"/>
  <c r="AN1293" i="1" a="1"/>
  <c r="AN1293" i="1" s="1"/>
  <c r="AN1294" i="1" a="1"/>
  <c r="AN1294" i="1" s="1"/>
  <c r="AN1295" i="1" a="1"/>
  <c r="AN1295" i="1"/>
  <c r="AN1296" i="1" a="1"/>
  <c r="AN1296" i="1" s="1"/>
  <c r="AN1297" i="1" a="1"/>
  <c r="AN1297" i="1"/>
  <c r="AN1298" i="1" a="1"/>
  <c r="AN1298" i="1"/>
  <c r="AN1299" i="1" a="1"/>
  <c r="AN1299" i="1" s="1"/>
  <c r="AN1300" i="1" a="1"/>
  <c r="AN1300" i="1"/>
  <c r="AN1301" i="1" a="1"/>
  <c r="AN1301" i="1" s="1"/>
  <c r="AN1302" i="1" a="1"/>
  <c r="AN1302" i="1" s="1"/>
  <c r="AN1303" i="1" a="1"/>
  <c r="AN1303" i="1" s="1"/>
  <c r="AN1304" i="1" a="1"/>
  <c r="AN1304" i="1"/>
  <c r="AN1305" i="1" a="1"/>
  <c r="AN1305" i="1" s="1"/>
  <c r="AN1306" i="1" a="1"/>
  <c r="AN1306" i="1" s="1"/>
  <c r="AN1307" i="1" a="1"/>
  <c r="AN1307" i="1"/>
  <c r="AN1308" i="1" a="1"/>
  <c r="AN1308" i="1"/>
  <c r="AN1309" i="1" a="1"/>
  <c r="AN1309" i="1" s="1"/>
  <c r="AN1310" i="1" a="1"/>
  <c r="AN1310" i="1"/>
  <c r="AN1311" i="1" a="1"/>
  <c r="AN1311" i="1" s="1"/>
  <c r="AN1312" i="1" a="1"/>
  <c r="AN1312" i="1"/>
  <c r="AN1313" i="1" a="1"/>
  <c r="AN1313" i="1"/>
  <c r="AN1314" i="1" a="1"/>
  <c r="AN1314" i="1"/>
  <c r="AN1315" i="1" a="1"/>
  <c r="AN1315" i="1" s="1"/>
  <c r="AN1316" i="1" a="1"/>
  <c r="AN1316" i="1" s="1"/>
  <c r="AN1317" i="1" a="1"/>
  <c r="AN1317" i="1" s="1"/>
  <c r="AN1318" i="1" a="1"/>
  <c r="AN1318" i="1"/>
  <c r="AN1319" i="1" a="1"/>
  <c r="AN1319" i="1" s="1"/>
  <c r="AN1320" i="1" a="1"/>
  <c r="AN1320" i="1" s="1"/>
  <c r="AN1321" i="1" a="1"/>
  <c r="AN1321" i="1"/>
  <c r="AN1322" i="1" a="1"/>
  <c r="AN1322" i="1" s="1"/>
  <c r="AN1323" i="1" a="1"/>
  <c r="AN1323" i="1" s="1"/>
  <c r="AN1324" i="1" a="1"/>
  <c r="AN1324" i="1"/>
  <c r="AN1325" i="1" a="1"/>
  <c r="AN1325" i="1"/>
  <c r="AN1326" i="1" a="1"/>
  <c r="AN1326" i="1"/>
  <c r="AN1327" i="1" a="1"/>
  <c r="AN1327" i="1" s="1"/>
  <c r="AN1328" i="1" a="1"/>
  <c r="AN1328" i="1" s="1"/>
  <c r="AN1329" i="1" a="1"/>
  <c r="AN1329" i="1" s="1"/>
  <c r="AN1330" i="1" a="1"/>
  <c r="AN1330" i="1"/>
  <c r="AN1331" i="1" a="1"/>
  <c r="AN1331" i="1"/>
  <c r="AN1332" i="1" a="1"/>
  <c r="AN1332" i="1" s="1"/>
  <c r="AN1333" i="1" a="1"/>
  <c r="AN1333" i="1"/>
  <c r="AN1334" i="1" a="1"/>
  <c r="AN1334" i="1" s="1"/>
  <c r="AN1335" i="1" a="1"/>
  <c r="AN1335" i="1" s="1"/>
  <c r="AN1336" i="1" a="1"/>
  <c r="AN1336" i="1"/>
  <c r="AN1337" i="1" a="1"/>
  <c r="AN1337" i="1"/>
  <c r="AN1338" i="1" a="1"/>
  <c r="AN1338" i="1"/>
  <c r="AN1339" i="1" a="1"/>
  <c r="AN1339" i="1" s="1"/>
  <c r="AN1340" i="1" a="1"/>
  <c r="AN1340" i="1" s="1"/>
  <c r="AN1341" i="1" a="1"/>
  <c r="AN1341" i="1" s="1"/>
  <c r="AN1342" i="1" a="1"/>
  <c r="AN1342" i="1" s="1"/>
  <c r="AN1343" i="1" a="1"/>
  <c r="AN1343" i="1"/>
  <c r="AN1344" i="1" a="1"/>
  <c r="AN1344" i="1"/>
  <c r="AN1345" i="1" a="1"/>
  <c r="AN1345" i="1" s="1"/>
  <c r="AN1346" i="1" a="1"/>
  <c r="AN1346" i="1"/>
  <c r="AN1347" i="1" a="1"/>
  <c r="AN1347" i="1" s="1"/>
  <c r="AN1348" i="1" a="1"/>
  <c r="AN1348" i="1" s="1"/>
  <c r="AN1349" i="1" a="1"/>
  <c r="AN1349" i="1" s="1"/>
  <c r="AN1350" i="1" a="1"/>
  <c r="AN1350" i="1"/>
  <c r="AN1351" i="1" a="1"/>
  <c r="AN1351" i="1"/>
  <c r="AN1352" i="1" a="1"/>
  <c r="AN1352" i="1"/>
  <c r="AN1353" i="1" a="1"/>
  <c r="AN1353" i="1" s="1"/>
  <c r="AN1354" i="1" a="1"/>
  <c r="AN1354" i="1"/>
  <c r="AN1355" i="1" a="1"/>
  <c r="AN1355" i="1" s="1"/>
  <c r="AN1356" i="1" a="1"/>
  <c r="AN1356" i="1" s="1"/>
  <c r="AN1357" i="1" a="1"/>
  <c r="AN1357" i="1"/>
  <c r="AN1358" i="1" a="1"/>
  <c r="AN1358" i="1" s="1"/>
  <c r="AN1359" i="1" a="1"/>
  <c r="AN1359" i="1" s="1"/>
  <c r="AN1360" i="1" a="1"/>
  <c r="AN1360" i="1"/>
  <c r="AN1361" i="1" a="1"/>
  <c r="AN1361" i="1" s="1"/>
  <c r="AN1362" i="1" a="1"/>
  <c r="AN1362" i="1" s="1"/>
  <c r="AN1363" i="1" a="1"/>
  <c r="AN1363" i="1" s="1"/>
  <c r="AN1364" i="1" a="1"/>
  <c r="AN1364" i="1" s="1"/>
  <c r="AN1365" i="1" a="1"/>
  <c r="AN1365" i="1"/>
  <c r="AN1366" i="1" a="1"/>
  <c r="AN1366" i="1"/>
  <c r="AN1367" i="1" a="1"/>
  <c r="AN1367" i="1" s="1"/>
  <c r="AN1368" i="1" a="1"/>
  <c r="AN1368" i="1"/>
  <c r="AN1369" i="1" a="1"/>
  <c r="AN1369" i="1" s="1"/>
  <c r="AN1370" i="1" a="1"/>
  <c r="AN1370" i="1" s="1"/>
  <c r="AN1371" i="1" a="1"/>
  <c r="AN1371" i="1"/>
  <c r="AN1372" i="1" a="1"/>
  <c r="AN1372" i="1"/>
  <c r="AN1373" i="1" a="1"/>
  <c r="AN1373" i="1" s="1"/>
  <c r="AN1374" i="1" a="1"/>
  <c r="AN1374" i="1"/>
  <c r="AN1375" i="1" a="1"/>
  <c r="AN1375" i="1"/>
  <c r="AN1376" i="1" a="1"/>
  <c r="AN1376" i="1" s="1"/>
  <c r="AN1377" i="1" a="1"/>
  <c r="AN1377" i="1"/>
  <c r="AN1378" i="1" a="1"/>
  <c r="AN1378" i="1"/>
  <c r="AN1379" i="1" a="1"/>
  <c r="AN1379" i="1" s="1"/>
  <c r="AN1380" i="1" a="1"/>
  <c r="AN1380" i="1"/>
  <c r="AN1381" i="1" a="1"/>
  <c r="AN1381" i="1"/>
  <c r="AN1382" i="1" a="1"/>
  <c r="AN1382" i="1"/>
  <c r="AN1383" i="1" a="1"/>
  <c r="AN1383" i="1" s="1"/>
  <c r="AN1384" i="1" a="1"/>
  <c r="AN1384" i="1"/>
  <c r="AN1385" i="1" a="1"/>
  <c r="AN1385" i="1" s="1"/>
  <c r="AN1386" i="1" a="1"/>
  <c r="AN1386" i="1"/>
  <c r="AN1387" i="1" a="1"/>
  <c r="AN1387" i="1"/>
  <c r="AN1388" i="1" a="1"/>
  <c r="AN1388" i="1"/>
  <c r="AN1389" i="1" a="1"/>
  <c r="AN1389" i="1"/>
  <c r="AN1390" i="1" a="1"/>
  <c r="AN1390" i="1"/>
  <c r="AN1391" i="1" a="1"/>
  <c r="AN1391" i="1" s="1"/>
  <c r="AN1392" i="1" a="1"/>
  <c r="AN1392" i="1"/>
  <c r="AN1393" i="1" a="1"/>
  <c r="AN1393" i="1"/>
  <c r="AN1394" i="1" a="1"/>
  <c r="AN1394" i="1"/>
  <c r="AN1395" i="1" a="1"/>
  <c r="AN1395" i="1"/>
  <c r="AN1396" i="1" a="1"/>
  <c r="AN1396" i="1" s="1"/>
  <c r="AN1397" i="1" a="1"/>
  <c r="AN1397" i="1" s="1"/>
  <c r="AN1398" i="1" a="1"/>
  <c r="AN1398" i="1"/>
  <c r="AN1399" i="1" a="1"/>
  <c r="AN1399" i="1"/>
  <c r="AN1400" i="1" a="1"/>
  <c r="AN1400" i="1"/>
  <c r="AN1401" i="1" a="1"/>
  <c r="AN1401" i="1"/>
  <c r="AN1402" i="1" a="1"/>
  <c r="AN1402" i="1"/>
  <c r="AN1403" i="1" a="1"/>
  <c r="AN1403" i="1" s="1"/>
  <c r="AN1404" i="1" a="1"/>
  <c r="AN1404" i="1"/>
  <c r="AN1405" i="1" a="1"/>
  <c r="AN1405" i="1"/>
  <c r="AN1406" i="1" a="1"/>
  <c r="AN1406" i="1"/>
  <c r="AN1407" i="1" a="1"/>
  <c r="AN1407" i="1"/>
  <c r="AN1408" i="1" a="1"/>
  <c r="AN1408" i="1"/>
  <c r="AN1409" i="1" a="1"/>
  <c r="AN1409" i="1" s="1"/>
  <c r="AN1410" i="1" a="1"/>
  <c r="AN1410" i="1" s="1"/>
  <c r="AN1411" i="1" a="1"/>
  <c r="AN1411" i="1"/>
  <c r="AN1412" i="1" a="1"/>
  <c r="AN1412" i="1"/>
  <c r="AN1413" i="1" a="1"/>
  <c r="AN1413" i="1"/>
  <c r="AN1414" i="1" a="1"/>
  <c r="AN1414" i="1"/>
  <c r="AN1415" i="1" a="1"/>
  <c r="AN1415" i="1" s="1"/>
  <c r="AN1416" i="1" a="1"/>
  <c r="AN1416" i="1" s="1"/>
  <c r="AN1417" i="1" a="1"/>
  <c r="AN1417" i="1" s="1"/>
  <c r="AN1418" i="1" a="1"/>
  <c r="AN1418" i="1"/>
  <c r="AN1419" i="1" a="1"/>
  <c r="AN1419" i="1"/>
  <c r="AN1420" i="1" a="1"/>
  <c r="AN1420" i="1"/>
  <c r="AN1421" i="1" a="1"/>
  <c r="AN1421" i="1" s="1"/>
  <c r="AN1422" i="1" a="1"/>
  <c r="AN1422" i="1" s="1"/>
  <c r="AN1423" i="1" a="1"/>
  <c r="AN1423" i="1"/>
  <c r="AN1424" i="1" a="1"/>
  <c r="AN1424" i="1" s="1"/>
  <c r="AN1425" i="1" a="1"/>
  <c r="AN1425" i="1"/>
  <c r="AN1426" i="1" a="1"/>
  <c r="AN1426" i="1"/>
  <c r="AN1427" i="1" a="1"/>
  <c r="AN1427" i="1" s="1"/>
  <c r="AN1428" i="1" a="1"/>
  <c r="AN1428" i="1" s="1"/>
  <c r="AN1429" i="1" a="1"/>
  <c r="AN1429" i="1"/>
  <c r="AN1430" i="1" a="1"/>
  <c r="AN1430" i="1"/>
  <c r="AN1431" i="1" a="1"/>
  <c r="AN1431" i="1" s="1"/>
  <c r="AN1432" i="1" a="1"/>
  <c r="AN1432" i="1"/>
  <c r="AN1433" i="1" a="1"/>
  <c r="AN1433" i="1" s="1"/>
  <c r="AN1434" i="1" a="1"/>
  <c r="AN1434" i="1" s="1"/>
  <c r="AN1435" i="1" a="1"/>
  <c r="AN1435" i="1"/>
  <c r="AN1436" i="1" a="1"/>
  <c r="AN1436" i="1"/>
  <c r="AN1437" i="1" a="1"/>
  <c r="AN1437" i="1"/>
  <c r="AN1438" i="1" a="1"/>
  <c r="AN1438" i="1" s="1"/>
  <c r="AN1439" i="1" a="1"/>
  <c r="AN1439" i="1" s="1"/>
  <c r="AN1440" i="1" a="1"/>
  <c r="AN1440" i="1" s="1"/>
  <c r="AN1441" i="1" a="1"/>
  <c r="AN1441" i="1"/>
  <c r="AN1442" i="1" a="1"/>
  <c r="AN1442" i="1"/>
  <c r="AN1443" i="1" a="1"/>
  <c r="AN1443" i="1"/>
  <c r="AN1444" i="1" a="1"/>
  <c r="AN1444" i="1" s="1"/>
  <c r="AN1445" i="1" a="1"/>
  <c r="AN1445" i="1" s="1"/>
  <c r="AN1446" i="1" a="1"/>
  <c r="AN1446" i="1" s="1"/>
  <c r="AN1447" i="1" a="1"/>
  <c r="AN1447" i="1"/>
  <c r="AN1448" i="1" a="1"/>
  <c r="AN1448" i="1"/>
  <c r="AN1449" i="1" a="1"/>
  <c r="AN1449" i="1"/>
  <c r="AN1450" i="1" a="1"/>
  <c r="AN1450" i="1"/>
  <c r="AN1451" i="1" a="1"/>
  <c r="AN1451" i="1" s="1"/>
  <c r="AN1452" i="1" a="1"/>
  <c r="AN1452" i="1" s="1"/>
  <c r="AN1453" i="1" a="1"/>
  <c r="AN1453" i="1" s="1"/>
  <c r="AN1454" i="1" a="1"/>
  <c r="AN1454" i="1"/>
  <c r="AN1455" i="1" a="1"/>
  <c r="AN1455" i="1"/>
  <c r="AN1456" i="1" a="1"/>
  <c r="AN1456" i="1"/>
  <c r="AN1457" i="1" a="1"/>
  <c r="AN1457" i="1" s="1"/>
  <c r="AN1458" i="1" a="1"/>
  <c r="AN1458" i="1" s="1"/>
  <c r="AN1459" i="1" a="1"/>
  <c r="AN1459" i="1" s="1"/>
  <c r="AN1460" i="1" a="1"/>
  <c r="AN1460" i="1" s="1"/>
  <c r="AN1461" i="1" a="1"/>
  <c r="AN1461" i="1"/>
  <c r="AN1462" i="1" a="1"/>
  <c r="AN1462" i="1"/>
  <c r="AN1463" i="1" a="1"/>
  <c r="AN1463" i="1" s="1"/>
  <c r="AN1464" i="1" a="1"/>
  <c r="AN1464" i="1" s="1"/>
  <c r="AN1465" i="1" a="1"/>
  <c r="AN1465" i="1"/>
  <c r="AN1466" i="1" a="1"/>
  <c r="AN1466" i="1"/>
  <c r="AN1467" i="1" a="1"/>
  <c r="AN1467" i="1" s="1"/>
  <c r="AN1468" i="1" a="1"/>
  <c r="AN1468" i="1"/>
  <c r="AN1469" i="1" a="1"/>
  <c r="AN1469" i="1" s="1"/>
  <c r="AN1470" i="1" a="1"/>
  <c r="AN1470" i="1" s="1"/>
  <c r="AN1471" i="1" a="1"/>
  <c r="AN1471" i="1"/>
  <c r="AN2" i="1" a="1"/>
  <c r="AN2" i="1" s="1"/>
  <c r="AM5" i="1" a="1"/>
  <c r="AM5" i="1" s="1"/>
  <c r="AM2" i="1" a="1"/>
  <c r="AM2" i="1" s="1"/>
  <c r="AM3" i="1" a="1"/>
  <c r="AM3" i="1" s="1"/>
  <c r="AM4" i="1" a="1"/>
  <c r="AM4" i="1" s="1"/>
  <c r="AM6" i="1" a="1"/>
  <c r="AM6" i="1" s="1"/>
  <c r="AM7" i="1" a="1"/>
  <c r="AM7" i="1" s="1"/>
  <c r="AM8" i="1" a="1"/>
  <c r="AM8" i="1" s="1"/>
  <c r="AM9" i="1" a="1"/>
  <c r="AM9" i="1" s="1"/>
  <c r="AM10" i="1" a="1"/>
  <c r="AM10" i="1" s="1"/>
  <c r="AM11" i="1" a="1"/>
  <c r="AM11" i="1" s="1"/>
  <c r="AM12" i="1" a="1"/>
  <c r="AM12" i="1" s="1"/>
  <c r="AM13" i="1" a="1"/>
  <c r="AM13" i="1" s="1"/>
  <c r="AM14" i="1" a="1"/>
  <c r="AM14" i="1" s="1"/>
  <c r="AM15" i="1" a="1"/>
  <c r="AM15" i="1" s="1"/>
  <c r="AM16" i="1" a="1"/>
  <c r="AM16" i="1" s="1"/>
  <c r="AM17" i="1" a="1"/>
  <c r="AM17" i="1" s="1"/>
  <c r="AM18" i="1" a="1"/>
  <c r="AM18" i="1" s="1"/>
  <c r="AM19" i="1" a="1"/>
  <c r="AM19" i="1" s="1"/>
  <c r="AM20" i="1" a="1"/>
  <c r="AM20" i="1" s="1"/>
  <c r="AM21" i="1" a="1"/>
  <c r="AM21" i="1" s="1"/>
  <c r="AM22" i="1" a="1"/>
  <c r="AM22" i="1" s="1"/>
  <c r="AM23" i="1" a="1"/>
  <c r="AM23" i="1" s="1"/>
  <c r="AM24" i="1" a="1"/>
  <c r="AM24" i="1" s="1"/>
  <c r="AM25" i="1" a="1"/>
  <c r="AM25" i="1" s="1"/>
  <c r="AM26" i="1" a="1"/>
  <c r="AM26" i="1" s="1"/>
  <c r="AM27" i="1" a="1"/>
  <c r="AM27" i="1" s="1"/>
  <c r="AM28" i="1" a="1"/>
  <c r="AM28" i="1" s="1"/>
  <c r="AM29" i="1" a="1"/>
  <c r="AM29" i="1" s="1"/>
  <c r="AM30" i="1" a="1"/>
  <c r="AM30" i="1" s="1"/>
  <c r="AM31" i="1" a="1"/>
  <c r="AM31" i="1" s="1"/>
  <c r="AM32" i="1" a="1"/>
  <c r="AM32" i="1" s="1"/>
  <c r="AM33" i="1" a="1"/>
  <c r="AM33" i="1" s="1"/>
  <c r="AM34" i="1" a="1"/>
  <c r="AM34" i="1" s="1"/>
  <c r="AM35" i="1" a="1"/>
  <c r="AM35" i="1" s="1"/>
  <c r="AM36" i="1" a="1"/>
  <c r="AM36" i="1" s="1"/>
  <c r="AM37" i="1" a="1"/>
  <c r="AM37" i="1" s="1"/>
  <c r="AM38" i="1" a="1"/>
  <c r="AM38" i="1" s="1"/>
  <c r="AM39" i="1" a="1"/>
  <c r="AM39" i="1" s="1"/>
  <c r="AM40" i="1" a="1"/>
  <c r="AM40" i="1" s="1"/>
  <c r="AM41" i="1" a="1"/>
  <c r="AM41" i="1" s="1"/>
  <c r="AM42" i="1" a="1"/>
  <c r="AM42" i="1" s="1"/>
  <c r="AM43" i="1" a="1"/>
  <c r="AM43" i="1" s="1"/>
  <c r="AM44" i="1" a="1"/>
  <c r="AM44" i="1" s="1"/>
  <c r="AM45" i="1" a="1"/>
  <c r="AM45" i="1" s="1"/>
  <c r="AM46" i="1" a="1"/>
  <c r="AM46" i="1" s="1"/>
  <c r="AM47" i="1" a="1"/>
  <c r="AM47" i="1" s="1"/>
  <c r="AM48" i="1" a="1"/>
  <c r="AM48" i="1" s="1"/>
  <c r="AM49" i="1" a="1"/>
  <c r="AM49" i="1" s="1"/>
  <c r="AM50" i="1" a="1"/>
  <c r="AM50" i="1" s="1"/>
  <c r="AM51" i="1" a="1"/>
  <c r="AM51" i="1" s="1"/>
  <c r="AM52" i="1" a="1"/>
  <c r="AM52" i="1" s="1"/>
  <c r="AM53" i="1" a="1"/>
  <c r="AM53" i="1" s="1"/>
  <c r="AM54" i="1" a="1"/>
  <c r="AM54" i="1" s="1"/>
  <c r="AM55" i="1" a="1"/>
  <c r="AM55" i="1" s="1"/>
  <c r="AM56" i="1" a="1"/>
  <c r="AM56" i="1" s="1"/>
  <c r="AM57" i="1" a="1"/>
  <c r="AM57" i="1" s="1"/>
  <c r="AM58" i="1" a="1"/>
  <c r="AM58" i="1" s="1"/>
  <c r="AM59" i="1" a="1"/>
  <c r="AM59" i="1" s="1"/>
  <c r="AM60" i="1" a="1"/>
  <c r="AM60" i="1" s="1"/>
  <c r="AM61" i="1" a="1"/>
  <c r="AM61" i="1" s="1"/>
  <c r="AM62" i="1" a="1"/>
  <c r="AM62" i="1" s="1"/>
  <c r="AM63" i="1" a="1"/>
  <c r="AM63" i="1" s="1"/>
  <c r="AM64" i="1" a="1"/>
  <c r="AM64" i="1" s="1"/>
  <c r="AM65" i="1" a="1"/>
  <c r="AM65" i="1" s="1"/>
  <c r="AM66" i="1" a="1"/>
  <c r="AM66" i="1" s="1"/>
  <c r="AM67" i="1" a="1"/>
  <c r="AM67" i="1" s="1"/>
  <c r="AM68" i="1" a="1"/>
  <c r="AM68" i="1" s="1"/>
  <c r="AM69" i="1" a="1"/>
  <c r="AM69" i="1" s="1"/>
  <c r="AM70" i="1" a="1"/>
  <c r="AM70" i="1" s="1"/>
  <c r="AM71" i="1" a="1"/>
  <c r="AM71" i="1" s="1"/>
  <c r="AM72" i="1" a="1"/>
  <c r="AM72" i="1" s="1"/>
  <c r="AM73" i="1" a="1"/>
  <c r="AM73" i="1" s="1"/>
  <c r="AM74" i="1" a="1"/>
  <c r="AM74" i="1" s="1"/>
  <c r="AM75" i="1" a="1"/>
  <c r="AM75" i="1" s="1"/>
  <c r="AM76" i="1" a="1"/>
  <c r="AM76" i="1" s="1"/>
  <c r="AM77" i="1" a="1"/>
  <c r="AM77" i="1" s="1"/>
  <c r="AM78" i="1" a="1"/>
  <c r="AM78" i="1" s="1"/>
  <c r="AM79" i="1" a="1"/>
  <c r="AM79" i="1" s="1"/>
  <c r="AM80" i="1" a="1"/>
  <c r="AM80" i="1" s="1"/>
  <c r="AM81" i="1" a="1"/>
  <c r="AM81" i="1" s="1"/>
  <c r="AM82" i="1" a="1"/>
  <c r="AM82" i="1" s="1"/>
  <c r="AM83" i="1" a="1"/>
  <c r="AM83" i="1" s="1"/>
  <c r="AM84" i="1" a="1"/>
  <c r="AM84" i="1" s="1"/>
  <c r="AM85" i="1" a="1"/>
  <c r="AM85" i="1" s="1"/>
  <c r="AM86" i="1" a="1"/>
  <c r="AM86" i="1" s="1"/>
  <c r="AM87" i="1" a="1"/>
  <c r="AM87" i="1" s="1"/>
  <c r="AM88" i="1" a="1"/>
  <c r="AM88" i="1" s="1"/>
  <c r="AM89" i="1" a="1"/>
  <c r="AM89" i="1" s="1"/>
  <c r="AM90" i="1" a="1"/>
  <c r="AM90" i="1" s="1"/>
  <c r="AM91" i="1" a="1"/>
  <c r="AM91" i="1" s="1"/>
  <c r="AM92" i="1" a="1"/>
  <c r="AM92" i="1" s="1"/>
  <c r="AM93" i="1" a="1"/>
  <c r="AM93" i="1" s="1"/>
  <c r="AM94" i="1" a="1"/>
  <c r="AM94" i="1" s="1"/>
  <c r="AM95" i="1" a="1"/>
  <c r="AM95" i="1" s="1"/>
  <c r="AM96" i="1" a="1"/>
  <c r="AM96" i="1" s="1"/>
  <c r="AM97" i="1" a="1"/>
  <c r="AM97" i="1" s="1"/>
  <c r="AM98" i="1" a="1"/>
  <c r="AM98" i="1" s="1"/>
  <c r="AM99" i="1" a="1"/>
  <c r="AM99" i="1" s="1"/>
  <c r="AM100" i="1" a="1"/>
  <c r="AM100" i="1" s="1"/>
  <c r="AM101" i="1" a="1"/>
  <c r="AM101" i="1" s="1"/>
  <c r="AM102" i="1" a="1"/>
  <c r="AM102" i="1" s="1"/>
  <c r="AM103" i="1" a="1"/>
  <c r="AM103" i="1" s="1"/>
  <c r="AM104" i="1" a="1"/>
  <c r="AM104" i="1" s="1"/>
  <c r="AM105" i="1" a="1"/>
  <c r="AM105" i="1" s="1"/>
  <c r="AM106" i="1" a="1"/>
  <c r="AM106" i="1" s="1"/>
  <c r="AM107" i="1" a="1"/>
  <c r="AM107" i="1"/>
  <c r="AM108" i="1" a="1"/>
  <c r="AM108" i="1" s="1"/>
  <c r="AM109" i="1" a="1"/>
  <c r="AM109" i="1" s="1"/>
  <c r="AM110" i="1" a="1"/>
  <c r="AM110" i="1" s="1"/>
  <c r="AM111" i="1" a="1"/>
  <c r="AM111" i="1" s="1"/>
  <c r="AM112" i="1" a="1"/>
  <c r="AM112" i="1" s="1"/>
  <c r="AM113" i="1" a="1"/>
  <c r="AM113" i="1" s="1"/>
  <c r="AM114" i="1" a="1"/>
  <c r="AM114" i="1" s="1"/>
  <c r="AM115" i="1" a="1"/>
  <c r="AM115" i="1" s="1"/>
  <c r="AM116" i="1" a="1"/>
  <c r="AM116" i="1" s="1"/>
  <c r="AM117" i="1" a="1"/>
  <c r="AM117" i="1" s="1"/>
  <c r="AM118" i="1" a="1"/>
  <c r="AM118" i="1"/>
  <c r="AM119" i="1" a="1"/>
  <c r="AM119" i="1" s="1"/>
  <c r="AM120" i="1" a="1"/>
  <c r="AM120" i="1" s="1"/>
  <c r="AM121" i="1" a="1"/>
  <c r="AM121" i="1" s="1"/>
  <c r="AM122" i="1" a="1"/>
  <c r="AM122" i="1" s="1"/>
  <c r="AM123" i="1" a="1"/>
  <c r="AM123" i="1" s="1"/>
  <c r="AM124" i="1" a="1"/>
  <c r="AM124" i="1" s="1"/>
  <c r="AM125" i="1" a="1"/>
  <c r="AM125" i="1" s="1"/>
  <c r="AM126" i="1" a="1"/>
  <c r="AM126" i="1" s="1"/>
  <c r="AM127" i="1" a="1"/>
  <c r="AM127" i="1" s="1"/>
  <c r="AM128" i="1" a="1"/>
  <c r="AM128" i="1" s="1"/>
  <c r="AM129" i="1" a="1"/>
  <c r="AM129" i="1" s="1"/>
  <c r="AM130" i="1" a="1"/>
  <c r="AM130" i="1" s="1"/>
  <c r="AM131" i="1" a="1"/>
  <c r="AM131" i="1" s="1"/>
  <c r="AM132" i="1" a="1"/>
  <c r="AM132" i="1" s="1"/>
  <c r="AM133" i="1" a="1"/>
  <c r="AM133" i="1" s="1"/>
  <c r="AM134" i="1" a="1"/>
  <c r="AM134" i="1" s="1"/>
  <c r="AM135" i="1" a="1"/>
  <c r="AM135" i="1" s="1"/>
  <c r="AM136" i="1" a="1"/>
  <c r="AM136" i="1" s="1"/>
  <c r="AM137" i="1" a="1"/>
  <c r="AM137" i="1" s="1"/>
  <c r="AM138" i="1" a="1"/>
  <c r="AM138" i="1" s="1"/>
  <c r="AM139" i="1" a="1"/>
  <c r="AM139" i="1" s="1"/>
  <c r="AM140" i="1" a="1"/>
  <c r="AM140" i="1" s="1"/>
  <c r="AM141" i="1" a="1"/>
  <c r="AM141" i="1" s="1"/>
  <c r="AM142" i="1" a="1"/>
  <c r="AM142" i="1" s="1"/>
  <c r="AM143" i="1" a="1"/>
  <c r="AM143" i="1" s="1"/>
  <c r="AM144" i="1" a="1"/>
  <c r="AM144" i="1" s="1"/>
  <c r="AM145" i="1" a="1"/>
  <c r="AM145" i="1" s="1"/>
  <c r="AM146" i="1" a="1"/>
  <c r="AM146" i="1" s="1"/>
  <c r="AM147" i="1" a="1"/>
  <c r="AM147" i="1" s="1"/>
  <c r="AM148" i="1" a="1"/>
  <c r="AM148" i="1" s="1"/>
  <c r="AM149" i="1" a="1"/>
  <c r="AM149" i="1" s="1"/>
  <c r="AM150" i="1" a="1"/>
  <c r="AM150" i="1" s="1"/>
  <c r="AM151" i="1" a="1"/>
  <c r="AM151" i="1" s="1"/>
  <c r="AM152" i="1" a="1"/>
  <c r="AM152" i="1" s="1"/>
  <c r="AM153" i="1" a="1"/>
  <c r="AM153" i="1" s="1"/>
  <c r="AM154" i="1" a="1"/>
  <c r="AM154" i="1" s="1"/>
  <c r="AM155" i="1" a="1"/>
  <c r="AM155" i="1" s="1"/>
  <c r="AM156" i="1" a="1"/>
  <c r="AM156" i="1" s="1"/>
  <c r="AM157" i="1" a="1"/>
  <c r="AM157" i="1" s="1"/>
  <c r="AM158" i="1" a="1"/>
  <c r="AM158" i="1" s="1"/>
  <c r="AM159" i="1" a="1"/>
  <c r="AM159" i="1" s="1"/>
  <c r="AM160" i="1" a="1"/>
  <c r="AM160" i="1" s="1"/>
  <c r="AM161" i="1" a="1"/>
  <c r="AM161" i="1" s="1"/>
  <c r="AM162" i="1" a="1"/>
  <c r="AM162" i="1" s="1"/>
  <c r="AM163" i="1" a="1"/>
  <c r="AM163" i="1" s="1"/>
  <c r="AM164" i="1" a="1"/>
  <c r="AM164" i="1" s="1"/>
  <c r="AM165" i="1" a="1"/>
  <c r="AM165" i="1" s="1"/>
  <c r="AM166" i="1" a="1"/>
  <c r="AM166" i="1" s="1"/>
  <c r="AM167" i="1" a="1"/>
  <c r="AM167" i="1" s="1"/>
  <c r="AM168" i="1" a="1"/>
  <c r="AM168" i="1" s="1"/>
  <c r="AM169" i="1" a="1"/>
  <c r="AM169" i="1" s="1"/>
  <c r="AM170" i="1" a="1"/>
  <c r="AM170" i="1" s="1"/>
  <c r="AM171" i="1" a="1"/>
  <c r="AM171" i="1" s="1"/>
  <c r="AM172" i="1" a="1"/>
  <c r="AM172" i="1" s="1"/>
  <c r="AM173" i="1" a="1"/>
  <c r="AM173" i="1" s="1"/>
  <c r="AM174" i="1" a="1"/>
  <c r="AM174" i="1" s="1"/>
  <c r="AM175" i="1" a="1"/>
  <c r="AM175" i="1" s="1"/>
  <c r="AM176" i="1" a="1"/>
  <c r="AM176" i="1" s="1"/>
  <c r="AM177" i="1" a="1"/>
  <c r="AM177" i="1" s="1"/>
  <c r="AM178" i="1" a="1"/>
  <c r="AM178" i="1" s="1"/>
  <c r="AM179" i="1" a="1"/>
  <c r="AM179" i="1" s="1"/>
  <c r="AM180" i="1" a="1"/>
  <c r="AM180" i="1" s="1"/>
  <c r="AM181" i="1" a="1"/>
  <c r="AM181" i="1" s="1"/>
  <c r="AM182" i="1" a="1"/>
  <c r="AM182" i="1" s="1"/>
  <c r="AM183" i="1" a="1"/>
  <c r="AM183" i="1" s="1"/>
  <c r="AM184" i="1" a="1"/>
  <c r="AM184" i="1" s="1"/>
  <c r="AM185" i="1" a="1"/>
  <c r="AM185" i="1" s="1"/>
  <c r="AM186" i="1" a="1"/>
  <c r="AM186" i="1" s="1"/>
  <c r="AM187" i="1" a="1"/>
  <c r="AM187" i="1" s="1"/>
  <c r="AM188" i="1" a="1"/>
  <c r="AM188" i="1" s="1"/>
  <c r="AM189" i="1" a="1"/>
  <c r="AM189" i="1" s="1"/>
  <c r="AM190" i="1" a="1"/>
  <c r="AM190" i="1" s="1"/>
  <c r="AM191" i="1" a="1"/>
  <c r="AM191" i="1" s="1"/>
  <c r="AM192" i="1" a="1"/>
  <c r="AM192" i="1" s="1"/>
  <c r="AM193" i="1" a="1"/>
  <c r="AM193" i="1" s="1"/>
  <c r="AM194" i="1" a="1"/>
  <c r="AM194" i="1" s="1"/>
  <c r="AM195" i="1" a="1"/>
  <c r="AM195" i="1" s="1"/>
  <c r="AM196" i="1" a="1"/>
  <c r="AM196" i="1" s="1"/>
  <c r="AM197" i="1" a="1"/>
  <c r="AM197" i="1" s="1"/>
  <c r="AM198" i="1" a="1"/>
  <c r="AM198" i="1" s="1"/>
  <c r="AM199" i="1" a="1"/>
  <c r="AM199" i="1" s="1"/>
  <c r="AM200" i="1" a="1"/>
  <c r="AM200" i="1" s="1"/>
  <c r="AM201" i="1" a="1"/>
  <c r="AM201" i="1" s="1"/>
  <c r="AM202" i="1" a="1"/>
  <c r="AM202" i="1" s="1"/>
  <c r="AM203" i="1" a="1"/>
  <c r="AM203" i="1" s="1"/>
  <c r="AM204" i="1" a="1"/>
  <c r="AM204" i="1" s="1"/>
  <c r="AM205" i="1" a="1"/>
  <c r="AM205" i="1" s="1"/>
  <c r="AM206" i="1" a="1"/>
  <c r="AM206" i="1" s="1"/>
  <c r="AM207" i="1" a="1"/>
  <c r="AM207" i="1" s="1"/>
  <c r="AM208" i="1" a="1"/>
  <c r="AM208" i="1" s="1"/>
  <c r="AM209" i="1" a="1"/>
  <c r="AM209" i="1" s="1"/>
  <c r="AM210" i="1" a="1"/>
  <c r="AM210" i="1" s="1"/>
  <c r="AM211" i="1" a="1"/>
  <c r="AM211" i="1" s="1"/>
  <c r="AM212" i="1" a="1"/>
  <c r="AM212" i="1" s="1"/>
  <c r="AM213" i="1" a="1"/>
  <c r="AM213" i="1" s="1"/>
  <c r="AM214" i="1" a="1"/>
  <c r="AM214" i="1" s="1"/>
  <c r="AM215" i="1" a="1"/>
  <c r="AM215" i="1" s="1"/>
  <c r="AM216" i="1" a="1"/>
  <c r="AM216" i="1" s="1"/>
  <c r="AM217" i="1" a="1"/>
  <c r="AM217" i="1" s="1"/>
  <c r="AM218" i="1" a="1"/>
  <c r="AM218" i="1" s="1"/>
  <c r="AM219" i="1" a="1"/>
  <c r="AM219" i="1" s="1"/>
  <c r="AM220" i="1" a="1"/>
  <c r="AM220" i="1" s="1"/>
  <c r="AM221" i="1" a="1"/>
  <c r="AM221" i="1" s="1"/>
  <c r="AM222" i="1" a="1"/>
  <c r="AM222" i="1" s="1"/>
  <c r="AM223" i="1" a="1"/>
  <c r="AM223" i="1" s="1"/>
  <c r="AM224" i="1" a="1"/>
  <c r="AM224" i="1" s="1"/>
  <c r="AM225" i="1" a="1"/>
  <c r="AM225" i="1" s="1"/>
  <c r="AM226" i="1" a="1"/>
  <c r="AM226" i="1" s="1"/>
  <c r="AM227" i="1" a="1"/>
  <c r="AM227" i="1" s="1"/>
  <c r="AM228" i="1" a="1"/>
  <c r="AM228" i="1" s="1"/>
  <c r="AM229" i="1" a="1"/>
  <c r="AM229" i="1" s="1"/>
  <c r="AM230" i="1" a="1"/>
  <c r="AM230" i="1" s="1"/>
  <c r="AM231" i="1" a="1"/>
  <c r="AM231" i="1" s="1"/>
  <c r="AM232" i="1" a="1"/>
  <c r="AM232" i="1" s="1"/>
  <c r="AM233" i="1" a="1"/>
  <c r="AM233" i="1" s="1"/>
  <c r="AM234" i="1" a="1"/>
  <c r="AM234" i="1" s="1"/>
  <c r="AM235" i="1" a="1"/>
  <c r="AM235" i="1" s="1"/>
  <c r="AM236" i="1" a="1"/>
  <c r="AM236" i="1" s="1"/>
  <c r="AM237" i="1" a="1"/>
  <c r="AM237" i="1" s="1"/>
  <c r="AM238" i="1" a="1"/>
  <c r="AM238" i="1" s="1"/>
  <c r="AM239" i="1" a="1"/>
  <c r="AM239" i="1" s="1"/>
  <c r="AM240" i="1" a="1"/>
  <c r="AM240" i="1" s="1"/>
  <c r="AM241" i="1" a="1"/>
  <c r="AM241" i="1" s="1"/>
  <c r="AM242" i="1" a="1"/>
  <c r="AM242" i="1" s="1"/>
  <c r="AM243" i="1" a="1"/>
  <c r="AM243" i="1" s="1"/>
  <c r="AM244" i="1" a="1"/>
  <c r="AM244" i="1" s="1"/>
  <c r="AM245" i="1" a="1"/>
  <c r="AM245" i="1" s="1"/>
  <c r="AM246" i="1" a="1"/>
  <c r="AM246" i="1" s="1"/>
  <c r="AM247" i="1" a="1"/>
  <c r="AM247" i="1" s="1"/>
  <c r="AM248" i="1" a="1"/>
  <c r="AM248" i="1" s="1"/>
  <c r="AM249" i="1" a="1"/>
  <c r="AM249" i="1" s="1"/>
  <c r="AM250" i="1" a="1"/>
  <c r="AM250" i="1" s="1"/>
  <c r="AM251" i="1" a="1"/>
  <c r="AM251" i="1" s="1"/>
  <c r="AM252" i="1" a="1"/>
  <c r="AM252" i="1" s="1"/>
  <c r="AM253" i="1" a="1"/>
  <c r="AM253" i="1" s="1"/>
  <c r="AM254" i="1" a="1"/>
  <c r="AM254" i="1" s="1"/>
  <c r="AM255" i="1" a="1"/>
  <c r="AM255" i="1" s="1"/>
  <c r="AM256" i="1" a="1"/>
  <c r="AM256" i="1" s="1"/>
  <c r="AM257" i="1" a="1"/>
  <c r="AM257" i="1" s="1"/>
  <c r="AM258" i="1" a="1"/>
  <c r="AM258" i="1" s="1"/>
  <c r="AM259" i="1" a="1"/>
  <c r="AM259" i="1" s="1"/>
  <c r="AM260" i="1" a="1"/>
  <c r="AM260" i="1" s="1"/>
  <c r="AM261" i="1" a="1"/>
  <c r="AM261" i="1" s="1"/>
  <c r="AM262" i="1" a="1"/>
  <c r="AM262" i="1" s="1"/>
  <c r="AM263" i="1" a="1"/>
  <c r="AM263" i="1" s="1"/>
  <c r="AM264" i="1" a="1"/>
  <c r="AM264" i="1" s="1"/>
  <c r="AM265" i="1" a="1"/>
  <c r="AM265" i="1" s="1"/>
  <c r="AM266" i="1" a="1"/>
  <c r="AM266" i="1" s="1"/>
  <c r="AM267" i="1" a="1"/>
  <c r="AM267" i="1" s="1"/>
  <c r="AM268" i="1" a="1"/>
  <c r="AM268" i="1" s="1"/>
  <c r="AM269" i="1" a="1"/>
  <c r="AM269" i="1" s="1"/>
  <c r="AM270" i="1" a="1"/>
  <c r="AM270" i="1" s="1"/>
  <c r="AM271" i="1" a="1"/>
  <c r="AM271" i="1" s="1"/>
  <c r="AM272" i="1" a="1"/>
  <c r="AM272" i="1" s="1"/>
  <c r="AM273" i="1" a="1"/>
  <c r="AM273" i="1" s="1"/>
  <c r="AM274" i="1" a="1"/>
  <c r="AM274" i="1" s="1"/>
  <c r="AM275" i="1" a="1"/>
  <c r="AM275" i="1" s="1"/>
  <c r="AM276" i="1" a="1"/>
  <c r="AM276" i="1" s="1"/>
  <c r="AM277" i="1" a="1"/>
  <c r="AM277" i="1" s="1"/>
  <c r="AM278" i="1" a="1"/>
  <c r="AM278" i="1" s="1"/>
  <c r="AM279" i="1" a="1"/>
  <c r="AM279" i="1" s="1"/>
  <c r="AM280" i="1" a="1"/>
  <c r="AM280" i="1" s="1"/>
  <c r="AM281" i="1" a="1"/>
  <c r="AM281" i="1" s="1"/>
  <c r="AM282" i="1" a="1"/>
  <c r="AM282" i="1" s="1"/>
  <c r="AM283" i="1" a="1"/>
  <c r="AM283" i="1" s="1"/>
  <c r="AM284" i="1" a="1"/>
  <c r="AM284" i="1" s="1"/>
  <c r="AM285" i="1" a="1"/>
  <c r="AM285" i="1" s="1"/>
  <c r="AM286" i="1" a="1"/>
  <c r="AM286" i="1" s="1"/>
  <c r="AM287" i="1" a="1"/>
  <c r="AM287" i="1" s="1"/>
  <c r="AM288" i="1" a="1"/>
  <c r="AM288" i="1" s="1"/>
  <c r="AM289" i="1" a="1"/>
  <c r="AM289" i="1" s="1"/>
  <c r="AM290" i="1" a="1"/>
  <c r="AM290" i="1" s="1"/>
  <c r="AM291" i="1" a="1"/>
  <c r="AM291" i="1" s="1"/>
  <c r="AM292" i="1" a="1"/>
  <c r="AM292" i="1" s="1"/>
  <c r="AM293" i="1" a="1"/>
  <c r="AM293" i="1" s="1"/>
  <c r="AM294" i="1" a="1"/>
  <c r="AM294" i="1" s="1"/>
  <c r="AM295" i="1" a="1"/>
  <c r="AM295" i="1" s="1"/>
  <c r="AM296" i="1" a="1"/>
  <c r="AM296" i="1" s="1"/>
  <c r="AM297" i="1" a="1"/>
  <c r="AM297" i="1" s="1"/>
  <c r="AM298" i="1" a="1"/>
  <c r="AM298" i="1" s="1"/>
  <c r="AM299" i="1" a="1"/>
  <c r="AM299" i="1" s="1"/>
  <c r="AM300" i="1" a="1"/>
  <c r="AM300" i="1" s="1"/>
  <c r="AM301" i="1" a="1"/>
  <c r="AM301" i="1" s="1"/>
  <c r="AM302" i="1" a="1"/>
  <c r="AM302" i="1" s="1"/>
  <c r="AM303" i="1" a="1"/>
  <c r="AM303" i="1" s="1"/>
  <c r="AM304" i="1" a="1"/>
  <c r="AM304" i="1" s="1"/>
  <c r="AM305" i="1" a="1"/>
  <c r="AM305" i="1" s="1"/>
  <c r="AM306" i="1" a="1"/>
  <c r="AM306" i="1" s="1"/>
  <c r="AM307" i="1" a="1"/>
  <c r="AM307" i="1" s="1"/>
  <c r="AM308" i="1" a="1"/>
  <c r="AM308" i="1" s="1"/>
  <c r="AM309" i="1" a="1"/>
  <c r="AM309" i="1" s="1"/>
  <c r="AM310" i="1" a="1"/>
  <c r="AM310" i="1" s="1"/>
  <c r="AM311" i="1" a="1"/>
  <c r="AM311" i="1" s="1"/>
  <c r="AM312" i="1" a="1"/>
  <c r="AM312" i="1" s="1"/>
  <c r="AM313" i="1" a="1"/>
  <c r="AM313" i="1" s="1"/>
  <c r="AM314" i="1" a="1"/>
  <c r="AM314" i="1" s="1"/>
  <c r="AM315" i="1" a="1"/>
  <c r="AM315" i="1" s="1"/>
  <c r="AM316" i="1" a="1"/>
  <c r="AM316" i="1" s="1"/>
  <c r="AM317" i="1" a="1"/>
  <c r="AM317" i="1" s="1"/>
  <c r="AM318" i="1" a="1"/>
  <c r="AM318" i="1" s="1"/>
  <c r="AM319" i="1" a="1"/>
  <c r="AM319" i="1" s="1"/>
  <c r="AM320" i="1" a="1"/>
  <c r="AM320" i="1" s="1"/>
  <c r="AM321" i="1" a="1"/>
  <c r="AM321" i="1" s="1"/>
  <c r="AM322" i="1" a="1"/>
  <c r="AM322" i="1" s="1"/>
  <c r="AM323" i="1" a="1"/>
  <c r="AM323" i="1" s="1"/>
  <c r="AM324" i="1" a="1"/>
  <c r="AM324" i="1" s="1"/>
  <c r="AM325" i="1" a="1"/>
  <c r="AM325" i="1" s="1"/>
  <c r="AM326" i="1" a="1"/>
  <c r="AM326" i="1" s="1"/>
  <c r="AM327" i="1" a="1"/>
  <c r="AM327" i="1" s="1"/>
  <c r="AM328" i="1" a="1"/>
  <c r="AM328" i="1" s="1"/>
  <c r="AM329" i="1" a="1"/>
  <c r="AM329" i="1" s="1"/>
  <c r="AM330" i="1" a="1"/>
  <c r="AM330" i="1" s="1"/>
  <c r="AM331" i="1" a="1"/>
  <c r="AM331" i="1" s="1"/>
  <c r="AM332" i="1" a="1"/>
  <c r="AM332" i="1" s="1"/>
  <c r="AM333" i="1" a="1"/>
  <c r="AM333" i="1" s="1"/>
  <c r="AM334" i="1" a="1"/>
  <c r="AM334" i="1" s="1"/>
  <c r="AM335" i="1" a="1"/>
  <c r="AM335" i="1" s="1"/>
  <c r="AM336" i="1" a="1"/>
  <c r="AM336" i="1" s="1"/>
  <c r="AM337" i="1" a="1"/>
  <c r="AM337" i="1" s="1"/>
  <c r="AM338" i="1" a="1"/>
  <c r="AM338" i="1" s="1"/>
  <c r="AM339" i="1" a="1"/>
  <c r="AM339" i="1" s="1"/>
  <c r="AM340" i="1" a="1"/>
  <c r="AM340" i="1" s="1"/>
  <c r="AM341" i="1" a="1"/>
  <c r="AM341" i="1" s="1"/>
  <c r="AM342" i="1" a="1"/>
  <c r="AM342" i="1" s="1"/>
  <c r="AM343" i="1" a="1"/>
  <c r="AM343" i="1" s="1"/>
  <c r="AM344" i="1" a="1"/>
  <c r="AM344" i="1" s="1"/>
  <c r="AM345" i="1" a="1"/>
  <c r="AM345" i="1" s="1"/>
  <c r="AM346" i="1" a="1"/>
  <c r="AM346" i="1" s="1"/>
  <c r="AM347" i="1" a="1"/>
  <c r="AM347" i="1" s="1"/>
  <c r="AM348" i="1" a="1"/>
  <c r="AM348" i="1" s="1"/>
  <c r="AM349" i="1" a="1"/>
  <c r="AM349" i="1" s="1"/>
  <c r="AM350" i="1" a="1"/>
  <c r="AM350" i="1" s="1"/>
  <c r="AM351" i="1" a="1"/>
  <c r="AM351" i="1" s="1"/>
  <c r="AM352" i="1" a="1"/>
  <c r="AM352" i="1" s="1"/>
  <c r="AM353" i="1" a="1"/>
  <c r="AM353" i="1" s="1"/>
  <c r="AM354" i="1" a="1"/>
  <c r="AM354" i="1" s="1"/>
  <c r="AM355" i="1" a="1"/>
  <c r="AM355" i="1" s="1"/>
  <c r="AM356" i="1" a="1"/>
  <c r="AM356" i="1" s="1"/>
  <c r="AM357" i="1" a="1"/>
  <c r="AM357" i="1" s="1"/>
  <c r="AM358" i="1" a="1"/>
  <c r="AM358" i="1" s="1"/>
  <c r="AM359" i="1" a="1"/>
  <c r="AM359" i="1" s="1"/>
  <c r="AM360" i="1" a="1"/>
  <c r="AM360" i="1" s="1"/>
  <c r="AM361" i="1" a="1"/>
  <c r="AM361" i="1" s="1"/>
  <c r="AM362" i="1" a="1"/>
  <c r="AM362" i="1" s="1"/>
  <c r="AM363" i="1" a="1"/>
  <c r="AM363" i="1" s="1"/>
  <c r="AM364" i="1" a="1"/>
  <c r="AM364" i="1" s="1"/>
  <c r="AM365" i="1" a="1"/>
  <c r="AM365" i="1" s="1"/>
  <c r="AM366" i="1" a="1"/>
  <c r="AM366" i="1" s="1"/>
  <c r="AM367" i="1" a="1"/>
  <c r="AM367" i="1" s="1"/>
  <c r="AM368" i="1" a="1"/>
  <c r="AM368" i="1" s="1"/>
  <c r="AM369" i="1" a="1"/>
  <c r="AM369" i="1" s="1"/>
  <c r="AM370" i="1" a="1"/>
  <c r="AM370" i="1" s="1"/>
  <c r="AM371" i="1" a="1"/>
  <c r="AM371" i="1" s="1"/>
  <c r="AM372" i="1" a="1"/>
  <c r="AM372" i="1" s="1"/>
  <c r="AM373" i="1" a="1"/>
  <c r="AM373" i="1" s="1"/>
  <c r="AM374" i="1" a="1"/>
  <c r="AM374" i="1" s="1"/>
  <c r="AM375" i="1" a="1"/>
  <c r="AM375" i="1" s="1"/>
  <c r="AM376" i="1" a="1"/>
  <c r="AM376" i="1" s="1"/>
  <c r="AM377" i="1" a="1"/>
  <c r="AM377" i="1" s="1"/>
  <c r="AM378" i="1" a="1"/>
  <c r="AM378" i="1" s="1"/>
  <c r="AM379" i="1" a="1"/>
  <c r="AM379" i="1" s="1"/>
  <c r="AM380" i="1" a="1"/>
  <c r="AM380" i="1" s="1"/>
  <c r="AM381" i="1" a="1"/>
  <c r="AM381" i="1" s="1"/>
  <c r="AM382" i="1" a="1"/>
  <c r="AM382" i="1" s="1"/>
  <c r="AM383" i="1" a="1"/>
  <c r="AM383" i="1" s="1"/>
  <c r="AM384" i="1" a="1"/>
  <c r="AM384" i="1" s="1"/>
  <c r="AM385" i="1" a="1"/>
  <c r="AM385" i="1" s="1"/>
  <c r="AM386" i="1" a="1"/>
  <c r="AM386" i="1" s="1"/>
  <c r="AM387" i="1" a="1"/>
  <c r="AM387" i="1" s="1"/>
  <c r="AM388" i="1" a="1"/>
  <c r="AM388" i="1" s="1"/>
  <c r="AM389" i="1" a="1"/>
  <c r="AM389" i="1" s="1"/>
  <c r="AM390" i="1" a="1"/>
  <c r="AM390" i="1" s="1"/>
  <c r="AM391" i="1" a="1"/>
  <c r="AM391" i="1" s="1"/>
  <c r="AM392" i="1" a="1"/>
  <c r="AM392" i="1" s="1"/>
  <c r="AM393" i="1" a="1"/>
  <c r="AM393" i="1" s="1"/>
  <c r="AM394" i="1" a="1"/>
  <c r="AM394" i="1" s="1"/>
  <c r="AM395" i="1" a="1"/>
  <c r="AM395" i="1" s="1"/>
  <c r="AM396" i="1" a="1"/>
  <c r="AM396" i="1" s="1"/>
  <c r="AM397" i="1" a="1"/>
  <c r="AM397" i="1" s="1"/>
  <c r="AM398" i="1" a="1"/>
  <c r="AM398" i="1" s="1"/>
  <c r="AM399" i="1" a="1"/>
  <c r="AM399" i="1" s="1"/>
  <c r="AM400" i="1" a="1"/>
  <c r="AM400" i="1" s="1"/>
  <c r="AM401" i="1" a="1"/>
  <c r="AM401" i="1" s="1"/>
  <c r="AM402" i="1" a="1"/>
  <c r="AM402" i="1" s="1"/>
  <c r="AM403" i="1" a="1"/>
  <c r="AM403" i="1" s="1"/>
  <c r="AM404" i="1" a="1"/>
  <c r="AM404" i="1" s="1"/>
  <c r="AM405" i="1" a="1"/>
  <c r="AM405" i="1" s="1"/>
  <c r="AM406" i="1" a="1"/>
  <c r="AM406" i="1" s="1"/>
  <c r="AM407" i="1" a="1"/>
  <c r="AM407" i="1" s="1"/>
  <c r="AM408" i="1" a="1"/>
  <c r="AM408" i="1" s="1"/>
  <c r="AM409" i="1" a="1"/>
  <c r="AM409" i="1" s="1"/>
  <c r="AM410" i="1" a="1"/>
  <c r="AM410" i="1" s="1"/>
  <c r="AM411" i="1" a="1"/>
  <c r="AM411" i="1" s="1"/>
  <c r="AM412" i="1" a="1"/>
  <c r="AM412" i="1" s="1"/>
  <c r="AM413" i="1" a="1"/>
  <c r="AM413" i="1" s="1"/>
  <c r="AM414" i="1" a="1"/>
  <c r="AM414" i="1" s="1"/>
  <c r="AM415" i="1" a="1"/>
  <c r="AM415" i="1" s="1"/>
  <c r="AM416" i="1" a="1"/>
  <c r="AM416" i="1" s="1"/>
  <c r="AM417" i="1" a="1"/>
  <c r="AM417" i="1" s="1"/>
  <c r="AM418" i="1" a="1"/>
  <c r="AM418" i="1" s="1"/>
  <c r="AM419" i="1" a="1"/>
  <c r="AM419" i="1" s="1"/>
  <c r="AM420" i="1" a="1"/>
  <c r="AM420" i="1" s="1"/>
  <c r="AM421" i="1" a="1"/>
  <c r="AM421" i="1" s="1"/>
  <c r="AM422" i="1" a="1"/>
  <c r="AM422" i="1" s="1"/>
  <c r="AM423" i="1" a="1"/>
  <c r="AM423" i="1" s="1"/>
  <c r="AM424" i="1" a="1"/>
  <c r="AM424" i="1" s="1"/>
  <c r="AM425" i="1" a="1"/>
  <c r="AM425" i="1" s="1"/>
  <c r="AM426" i="1" a="1"/>
  <c r="AM426" i="1" s="1"/>
  <c r="AM427" i="1" a="1"/>
  <c r="AM427" i="1" s="1"/>
  <c r="AM428" i="1" a="1"/>
  <c r="AM428" i="1" s="1"/>
  <c r="AM429" i="1" a="1"/>
  <c r="AM429" i="1" s="1"/>
  <c r="AM430" i="1" a="1"/>
  <c r="AM430" i="1" s="1"/>
  <c r="AM431" i="1" a="1"/>
  <c r="AM431" i="1" s="1"/>
  <c r="AM432" i="1" a="1"/>
  <c r="AM432" i="1" s="1"/>
  <c r="AM433" i="1" a="1"/>
  <c r="AM433" i="1" s="1"/>
  <c r="AM434" i="1" a="1"/>
  <c r="AM434" i="1" s="1"/>
  <c r="AM435" i="1" a="1"/>
  <c r="AM435" i="1" s="1"/>
  <c r="AM436" i="1" a="1"/>
  <c r="AM436" i="1" s="1"/>
  <c r="AM437" i="1" a="1"/>
  <c r="AM437" i="1" s="1"/>
  <c r="AM438" i="1" a="1"/>
  <c r="AM438" i="1" s="1"/>
  <c r="AM439" i="1" a="1"/>
  <c r="AM439" i="1" s="1"/>
  <c r="AM440" i="1" a="1"/>
  <c r="AM440" i="1" s="1"/>
  <c r="AM441" i="1" a="1"/>
  <c r="AM441" i="1" s="1"/>
  <c r="AM442" i="1" a="1"/>
  <c r="AM442" i="1" s="1"/>
  <c r="AM443" i="1" a="1"/>
  <c r="AM443" i="1" s="1"/>
  <c r="AM444" i="1" a="1"/>
  <c r="AM444" i="1" s="1"/>
  <c r="AM445" i="1" a="1"/>
  <c r="AM445" i="1" s="1"/>
  <c r="AM446" i="1" a="1"/>
  <c r="AM446" i="1" s="1"/>
  <c r="AM447" i="1" a="1"/>
  <c r="AM447" i="1" s="1"/>
  <c r="AM448" i="1" a="1"/>
  <c r="AM448" i="1" s="1"/>
  <c r="AM449" i="1" a="1"/>
  <c r="AM449" i="1" s="1"/>
  <c r="AM450" i="1" a="1"/>
  <c r="AM450" i="1" s="1"/>
  <c r="AM451" i="1" a="1"/>
  <c r="AM451" i="1" s="1"/>
  <c r="AM452" i="1" a="1"/>
  <c r="AM452" i="1" s="1"/>
  <c r="AM453" i="1" a="1"/>
  <c r="AM453" i="1" s="1"/>
  <c r="AM454" i="1" a="1"/>
  <c r="AM454" i="1" s="1"/>
  <c r="AM455" i="1" a="1"/>
  <c r="AM455" i="1" s="1"/>
  <c r="AM456" i="1" a="1"/>
  <c r="AM456" i="1" s="1"/>
  <c r="AM457" i="1" a="1"/>
  <c r="AM457" i="1" s="1"/>
  <c r="AM458" i="1" a="1"/>
  <c r="AM458" i="1" s="1"/>
  <c r="AM459" i="1" a="1"/>
  <c r="AM459" i="1" s="1"/>
  <c r="AM460" i="1" a="1"/>
  <c r="AM460" i="1" s="1"/>
  <c r="AM461" i="1" a="1"/>
  <c r="AM461" i="1" s="1"/>
  <c r="AM462" i="1" a="1"/>
  <c r="AM462" i="1" s="1"/>
  <c r="AM463" i="1" a="1"/>
  <c r="AM463" i="1" s="1"/>
  <c r="AM464" i="1" a="1"/>
  <c r="AM464" i="1" s="1"/>
  <c r="AM465" i="1" a="1"/>
  <c r="AM465" i="1" s="1"/>
  <c r="AM466" i="1" a="1"/>
  <c r="AM466" i="1" s="1"/>
  <c r="AM467" i="1" a="1"/>
  <c r="AM467" i="1" s="1"/>
  <c r="AM468" i="1" a="1"/>
  <c r="AM468" i="1" s="1"/>
  <c r="AM469" i="1" a="1"/>
  <c r="AM469" i="1" s="1"/>
  <c r="AM470" i="1" a="1"/>
  <c r="AM470" i="1" s="1"/>
  <c r="AM471" i="1" a="1"/>
  <c r="AM471" i="1" s="1"/>
  <c r="AM472" i="1" a="1"/>
  <c r="AM472" i="1" s="1"/>
  <c r="AM473" i="1" a="1"/>
  <c r="AM473" i="1" s="1"/>
  <c r="AM474" i="1" a="1"/>
  <c r="AM474" i="1" s="1"/>
  <c r="AM475" i="1" a="1"/>
  <c r="AM475" i="1" s="1"/>
  <c r="AM476" i="1" a="1"/>
  <c r="AM476" i="1" s="1"/>
  <c r="AM477" i="1" a="1"/>
  <c r="AM477" i="1" s="1"/>
  <c r="AM478" i="1" a="1"/>
  <c r="AM478" i="1" s="1"/>
  <c r="AM479" i="1" a="1"/>
  <c r="AM479" i="1" s="1"/>
  <c r="AM480" i="1" a="1"/>
  <c r="AM480" i="1" s="1"/>
  <c r="AM481" i="1" a="1"/>
  <c r="AM481" i="1" s="1"/>
  <c r="AM482" i="1" a="1"/>
  <c r="AM482" i="1" s="1"/>
  <c r="AM483" i="1" a="1"/>
  <c r="AM483" i="1" s="1"/>
  <c r="AM484" i="1" a="1"/>
  <c r="AM484" i="1" s="1"/>
  <c r="AM485" i="1" a="1"/>
  <c r="AM485" i="1" s="1"/>
  <c r="AM486" i="1" a="1"/>
  <c r="AM486" i="1" s="1"/>
  <c r="AM487" i="1" a="1"/>
  <c r="AM487" i="1" s="1"/>
  <c r="AM488" i="1" a="1"/>
  <c r="AM488" i="1" s="1"/>
  <c r="AM489" i="1" a="1"/>
  <c r="AM489" i="1" s="1"/>
  <c r="AM490" i="1" a="1"/>
  <c r="AM490" i="1" s="1"/>
  <c r="AM491" i="1" a="1"/>
  <c r="AM491" i="1" s="1"/>
  <c r="AM492" i="1" a="1"/>
  <c r="AM492" i="1" s="1"/>
  <c r="AM493" i="1" a="1"/>
  <c r="AM493" i="1" s="1"/>
  <c r="AM494" i="1" a="1"/>
  <c r="AM494" i="1" s="1"/>
  <c r="AM495" i="1" a="1"/>
  <c r="AM495" i="1" s="1"/>
  <c r="AM496" i="1" a="1"/>
  <c r="AM496" i="1" s="1"/>
  <c r="AM497" i="1" a="1"/>
  <c r="AM497" i="1" s="1"/>
  <c r="AM498" i="1" a="1"/>
  <c r="AM498" i="1" s="1"/>
  <c r="AM499" i="1" a="1"/>
  <c r="AM499" i="1" s="1"/>
  <c r="AM500" i="1" a="1"/>
  <c r="AM500" i="1" s="1"/>
  <c r="AM501" i="1" a="1"/>
  <c r="AM501" i="1" s="1"/>
  <c r="AM502" i="1" a="1"/>
  <c r="AM502" i="1" s="1"/>
  <c r="AM503" i="1" a="1"/>
  <c r="AM503" i="1" s="1"/>
  <c r="AM504" i="1" a="1"/>
  <c r="AM504" i="1" s="1"/>
  <c r="AM505" i="1" a="1"/>
  <c r="AM505" i="1" s="1"/>
  <c r="AM506" i="1" a="1"/>
  <c r="AM506" i="1" s="1"/>
  <c r="AM507" i="1" a="1"/>
  <c r="AM507" i="1" s="1"/>
  <c r="AM508" i="1" a="1"/>
  <c r="AM508" i="1" s="1"/>
  <c r="AM509" i="1" a="1"/>
  <c r="AM509" i="1" s="1"/>
  <c r="AM510" i="1" a="1"/>
  <c r="AM510" i="1" s="1"/>
  <c r="AM511" i="1" a="1"/>
  <c r="AM511" i="1" s="1"/>
  <c r="AM512" i="1" a="1"/>
  <c r="AM512" i="1" s="1"/>
  <c r="AM513" i="1" a="1"/>
  <c r="AM513" i="1" s="1"/>
  <c r="AM514" i="1" a="1"/>
  <c r="AM514" i="1" s="1"/>
  <c r="AM515" i="1" a="1"/>
  <c r="AM515" i="1" s="1"/>
  <c r="AM516" i="1" a="1"/>
  <c r="AM516" i="1" s="1"/>
  <c r="AM517" i="1" a="1"/>
  <c r="AM517" i="1" s="1"/>
  <c r="AM518" i="1" a="1"/>
  <c r="AM518" i="1" s="1"/>
  <c r="AM519" i="1" a="1"/>
  <c r="AM519" i="1" s="1"/>
  <c r="AM520" i="1" a="1"/>
  <c r="AM520" i="1" s="1"/>
  <c r="AM521" i="1" a="1"/>
  <c r="AM521" i="1" s="1"/>
  <c r="AM522" i="1" a="1"/>
  <c r="AM522" i="1" s="1"/>
  <c r="AM523" i="1" a="1"/>
  <c r="AM523" i="1" s="1"/>
  <c r="AM524" i="1" a="1"/>
  <c r="AM524" i="1" s="1"/>
  <c r="AM525" i="1" a="1"/>
  <c r="AM525" i="1" s="1"/>
  <c r="AM526" i="1" a="1"/>
  <c r="AM526" i="1" s="1"/>
  <c r="AM527" i="1" a="1"/>
  <c r="AM527" i="1" s="1"/>
  <c r="AM528" i="1" a="1"/>
  <c r="AM528" i="1" s="1"/>
  <c r="AM529" i="1" a="1"/>
  <c r="AM529" i="1" s="1"/>
  <c r="AM530" i="1" a="1"/>
  <c r="AM530" i="1" s="1"/>
  <c r="AM531" i="1" a="1"/>
  <c r="AM531" i="1" s="1"/>
  <c r="AM532" i="1" a="1"/>
  <c r="AM532" i="1" s="1"/>
  <c r="AM533" i="1" a="1"/>
  <c r="AM533" i="1" s="1"/>
  <c r="AM534" i="1" a="1"/>
  <c r="AM534" i="1" s="1"/>
  <c r="AM535" i="1" a="1"/>
  <c r="AM535" i="1" s="1"/>
  <c r="AM536" i="1" a="1"/>
  <c r="AM536" i="1" s="1"/>
  <c r="AM537" i="1" a="1"/>
  <c r="AM537" i="1" s="1"/>
  <c r="AM538" i="1" a="1"/>
  <c r="AM538" i="1" s="1"/>
  <c r="AM539" i="1" a="1"/>
  <c r="AM539" i="1" s="1"/>
  <c r="AM540" i="1" a="1"/>
  <c r="AM540" i="1" s="1"/>
  <c r="AM541" i="1" a="1"/>
  <c r="AM541" i="1" s="1"/>
  <c r="AM542" i="1" a="1"/>
  <c r="AM542" i="1" s="1"/>
  <c r="AM543" i="1" a="1"/>
  <c r="AM543" i="1" s="1"/>
  <c r="AM544" i="1" a="1"/>
  <c r="AM544" i="1" s="1"/>
  <c r="AM545" i="1" a="1"/>
  <c r="AM545" i="1" s="1"/>
  <c r="AM546" i="1" a="1"/>
  <c r="AM546" i="1" s="1"/>
  <c r="AM547" i="1" a="1"/>
  <c r="AM547" i="1" s="1"/>
  <c r="AM548" i="1" a="1"/>
  <c r="AM548" i="1" s="1"/>
  <c r="AM549" i="1" a="1"/>
  <c r="AM549" i="1" s="1"/>
  <c r="AM550" i="1" a="1"/>
  <c r="AM550" i="1" s="1"/>
  <c r="AM551" i="1" a="1"/>
  <c r="AM551" i="1" s="1"/>
  <c r="AM552" i="1" a="1"/>
  <c r="AM552" i="1" s="1"/>
  <c r="AM553" i="1" a="1"/>
  <c r="AM553" i="1" s="1"/>
  <c r="AM554" i="1" a="1"/>
  <c r="AM554" i="1" s="1"/>
  <c r="AM555" i="1" a="1"/>
  <c r="AM555" i="1" s="1"/>
  <c r="AM556" i="1" a="1"/>
  <c r="AM556" i="1" s="1"/>
  <c r="AM557" i="1" a="1"/>
  <c r="AM557" i="1" s="1"/>
  <c r="AM558" i="1" a="1"/>
  <c r="AM558" i="1" s="1"/>
  <c r="AM559" i="1" a="1"/>
  <c r="AM559" i="1" s="1"/>
  <c r="AM560" i="1" a="1"/>
  <c r="AM560" i="1" s="1"/>
  <c r="AM561" i="1" a="1"/>
  <c r="AM561" i="1" s="1"/>
  <c r="AM562" i="1" a="1"/>
  <c r="AM562" i="1" s="1"/>
  <c r="AM563" i="1" a="1"/>
  <c r="AM563" i="1" s="1"/>
  <c r="AM564" i="1" a="1"/>
  <c r="AM564" i="1" s="1"/>
  <c r="AM565" i="1" a="1"/>
  <c r="AM565" i="1" s="1"/>
  <c r="AM566" i="1" a="1"/>
  <c r="AM566" i="1" s="1"/>
  <c r="AM567" i="1" a="1"/>
  <c r="AM567" i="1" s="1"/>
  <c r="AM568" i="1" a="1"/>
  <c r="AM568" i="1" s="1"/>
  <c r="AM569" i="1" a="1"/>
  <c r="AM569" i="1" s="1"/>
  <c r="AM570" i="1" a="1"/>
  <c r="AM570" i="1" s="1"/>
  <c r="AM571" i="1" a="1"/>
  <c r="AM571" i="1" s="1"/>
  <c r="AM572" i="1" a="1"/>
  <c r="AM572" i="1" s="1"/>
  <c r="AM573" i="1" a="1"/>
  <c r="AM573" i="1" s="1"/>
  <c r="AM574" i="1" a="1"/>
  <c r="AM574" i="1" s="1"/>
  <c r="AM575" i="1" a="1"/>
  <c r="AM575" i="1" s="1"/>
  <c r="AM576" i="1" a="1"/>
  <c r="AM576" i="1" s="1"/>
  <c r="AM577" i="1" a="1"/>
  <c r="AM577" i="1" s="1"/>
  <c r="AM578" i="1" a="1"/>
  <c r="AM578" i="1" s="1"/>
  <c r="AM579" i="1" a="1"/>
  <c r="AM579" i="1" s="1"/>
  <c r="AM580" i="1" a="1"/>
  <c r="AM580" i="1" s="1"/>
  <c r="AM581" i="1" a="1"/>
  <c r="AM581" i="1" s="1"/>
  <c r="AM582" i="1" a="1"/>
  <c r="AM582" i="1" s="1"/>
  <c r="AM583" i="1" a="1"/>
  <c r="AM583" i="1" s="1"/>
  <c r="AM584" i="1" a="1"/>
  <c r="AM584" i="1" s="1"/>
  <c r="AM585" i="1" a="1"/>
  <c r="AM585" i="1" s="1"/>
  <c r="AM586" i="1" a="1"/>
  <c r="AM586" i="1" s="1"/>
  <c r="AM587" i="1" a="1"/>
  <c r="AM587" i="1" s="1"/>
  <c r="AM588" i="1" a="1"/>
  <c r="AM588" i="1" s="1"/>
  <c r="AM589" i="1" a="1"/>
  <c r="AM589" i="1" s="1"/>
  <c r="AM590" i="1" a="1"/>
  <c r="AM590" i="1" s="1"/>
  <c r="AM591" i="1" a="1"/>
  <c r="AM591" i="1" s="1"/>
  <c r="AM592" i="1" a="1"/>
  <c r="AM592" i="1" s="1"/>
  <c r="AM593" i="1" a="1"/>
  <c r="AM593" i="1" s="1"/>
  <c r="AM594" i="1" a="1"/>
  <c r="AM594" i="1" s="1"/>
  <c r="AM595" i="1" a="1"/>
  <c r="AM595" i="1" s="1"/>
  <c r="AM596" i="1" a="1"/>
  <c r="AM596" i="1" s="1"/>
  <c r="AM597" i="1" a="1"/>
  <c r="AM597" i="1" s="1"/>
  <c r="AM598" i="1" a="1"/>
  <c r="AM598" i="1" s="1"/>
  <c r="AM599" i="1" a="1"/>
  <c r="AM599" i="1" s="1"/>
  <c r="AM600" i="1" a="1"/>
  <c r="AM600" i="1" s="1"/>
  <c r="AM601" i="1" a="1"/>
  <c r="AM601" i="1" s="1"/>
  <c r="AM602" i="1" a="1"/>
  <c r="AM602" i="1" s="1"/>
  <c r="AM603" i="1" a="1"/>
  <c r="AM603" i="1" s="1"/>
  <c r="AM604" i="1" a="1"/>
  <c r="AM604" i="1" s="1"/>
  <c r="AM605" i="1" a="1"/>
  <c r="AM605" i="1" s="1"/>
  <c r="AM606" i="1" a="1"/>
  <c r="AM606" i="1" s="1"/>
  <c r="AM607" i="1" a="1"/>
  <c r="AM607" i="1" s="1"/>
  <c r="AM608" i="1" a="1"/>
  <c r="AM608" i="1" s="1"/>
  <c r="AM609" i="1" a="1"/>
  <c r="AM609" i="1" s="1"/>
  <c r="AM610" i="1" a="1"/>
  <c r="AM610" i="1" s="1"/>
  <c r="AM611" i="1" a="1"/>
  <c r="AM611" i="1" s="1"/>
  <c r="AM612" i="1" a="1"/>
  <c r="AM612" i="1" s="1"/>
  <c r="AM613" i="1" a="1"/>
  <c r="AM613" i="1" s="1"/>
  <c r="AM614" i="1" a="1"/>
  <c r="AM614" i="1" s="1"/>
  <c r="AM615" i="1" a="1"/>
  <c r="AM615" i="1" s="1"/>
  <c r="AM616" i="1" a="1"/>
  <c r="AM616" i="1" s="1"/>
  <c r="AM617" i="1" a="1"/>
  <c r="AM617" i="1" s="1"/>
  <c r="AM618" i="1" a="1"/>
  <c r="AM618" i="1" s="1"/>
  <c r="AM619" i="1" a="1"/>
  <c r="AM619" i="1" s="1"/>
  <c r="AM620" i="1" a="1"/>
  <c r="AM620" i="1" s="1"/>
  <c r="AM621" i="1" a="1"/>
  <c r="AM621" i="1" s="1"/>
  <c r="AM622" i="1" a="1"/>
  <c r="AM622" i="1" s="1"/>
  <c r="AM623" i="1" a="1"/>
  <c r="AM623" i="1" s="1"/>
  <c r="AM624" i="1" a="1"/>
  <c r="AM624" i="1" s="1"/>
  <c r="AM625" i="1" a="1"/>
  <c r="AM625" i="1" s="1"/>
  <c r="AM626" i="1" a="1"/>
  <c r="AM626" i="1" s="1"/>
  <c r="AM627" i="1" a="1"/>
  <c r="AM627" i="1" s="1"/>
  <c r="AM628" i="1" a="1"/>
  <c r="AM628" i="1" s="1"/>
  <c r="AM629" i="1" a="1"/>
  <c r="AM629" i="1" s="1"/>
  <c r="AM630" i="1" a="1"/>
  <c r="AM630" i="1" s="1"/>
  <c r="AM631" i="1" a="1"/>
  <c r="AM631" i="1" s="1"/>
  <c r="AM632" i="1" a="1"/>
  <c r="AM632" i="1" s="1"/>
  <c r="AM633" i="1" a="1"/>
  <c r="AM633" i="1" s="1"/>
  <c r="AM634" i="1" a="1"/>
  <c r="AM634" i="1" s="1"/>
  <c r="AM635" i="1" a="1"/>
  <c r="AM635" i="1" s="1"/>
  <c r="AM636" i="1" a="1"/>
  <c r="AM636" i="1" s="1"/>
  <c r="AM637" i="1" a="1"/>
  <c r="AM637" i="1" s="1"/>
  <c r="AM638" i="1" a="1"/>
  <c r="AM638" i="1" s="1"/>
  <c r="AM639" i="1" a="1"/>
  <c r="AM639" i="1" s="1"/>
  <c r="AM640" i="1" a="1"/>
  <c r="AM640" i="1" s="1"/>
  <c r="AM641" i="1" a="1"/>
  <c r="AM641" i="1" s="1"/>
  <c r="AM642" i="1" a="1"/>
  <c r="AM642" i="1" s="1"/>
  <c r="AM643" i="1" a="1"/>
  <c r="AM643" i="1" s="1"/>
  <c r="AM644" i="1" a="1"/>
  <c r="AM644" i="1" s="1"/>
  <c r="AM645" i="1" a="1"/>
  <c r="AM645" i="1" s="1"/>
  <c r="AM646" i="1" a="1"/>
  <c r="AM646" i="1" s="1"/>
  <c r="AM647" i="1" a="1"/>
  <c r="AM647" i="1" s="1"/>
  <c r="AM648" i="1" a="1"/>
  <c r="AM648" i="1" s="1"/>
  <c r="AM649" i="1" a="1"/>
  <c r="AM649" i="1" s="1"/>
  <c r="AM650" i="1" a="1"/>
  <c r="AM650" i="1" s="1"/>
  <c r="AM651" i="1" a="1"/>
  <c r="AM651" i="1" s="1"/>
  <c r="AM652" i="1" a="1"/>
  <c r="AM652" i="1" s="1"/>
  <c r="AM653" i="1" a="1"/>
  <c r="AM653" i="1" s="1"/>
  <c r="AM654" i="1" a="1"/>
  <c r="AM654" i="1" s="1"/>
  <c r="AM655" i="1" a="1"/>
  <c r="AM655" i="1" s="1"/>
  <c r="AM656" i="1" a="1"/>
  <c r="AM656" i="1" s="1"/>
  <c r="AM657" i="1" a="1"/>
  <c r="AM657" i="1" s="1"/>
  <c r="AM658" i="1" a="1"/>
  <c r="AM658" i="1" s="1"/>
  <c r="AM659" i="1" a="1"/>
  <c r="AM659" i="1" s="1"/>
  <c r="AM660" i="1" a="1"/>
  <c r="AM660" i="1" s="1"/>
  <c r="AM661" i="1" a="1"/>
  <c r="AM661" i="1" s="1"/>
  <c r="AM662" i="1" a="1"/>
  <c r="AM662" i="1" s="1"/>
  <c r="AM663" i="1" a="1"/>
  <c r="AM663" i="1" s="1"/>
  <c r="AM664" i="1" a="1"/>
  <c r="AM664" i="1" s="1"/>
  <c r="AM665" i="1" a="1"/>
  <c r="AM665" i="1" s="1"/>
  <c r="AM666" i="1" a="1"/>
  <c r="AM666" i="1" s="1"/>
  <c r="AM667" i="1" a="1"/>
  <c r="AM667" i="1" s="1"/>
  <c r="AM668" i="1" a="1"/>
  <c r="AM668" i="1" s="1"/>
  <c r="AM669" i="1" a="1"/>
  <c r="AM669" i="1" s="1"/>
  <c r="AM670" i="1" a="1"/>
  <c r="AM670" i="1" s="1"/>
  <c r="AM671" i="1" a="1"/>
  <c r="AM671" i="1" s="1"/>
  <c r="AM672" i="1" a="1"/>
  <c r="AM672" i="1" s="1"/>
  <c r="AM673" i="1" a="1"/>
  <c r="AM673" i="1" s="1"/>
  <c r="AM674" i="1" a="1"/>
  <c r="AM674" i="1" s="1"/>
  <c r="AM675" i="1" a="1"/>
  <c r="AM675" i="1" s="1"/>
  <c r="AM676" i="1" a="1"/>
  <c r="AM676" i="1" s="1"/>
  <c r="AM677" i="1" a="1"/>
  <c r="AM677" i="1" s="1"/>
  <c r="AM678" i="1" a="1"/>
  <c r="AM678" i="1" s="1"/>
  <c r="AM679" i="1" a="1"/>
  <c r="AM679" i="1" s="1"/>
  <c r="AM680" i="1" a="1"/>
  <c r="AM680" i="1" s="1"/>
  <c r="AM681" i="1" a="1"/>
  <c r="AM681" i="1" s="1"/>
  <c r="AM682" i="1" a="1"/>
  <c r="AM682" i="1" s="1"/>
  <c r="AM683" i="1" a="1"/>
  <c r="AM683" i="1" s="1"/>
  <c r="AM684" i="1" a="1"/>
  <c r="AM684" i="1" s="1"/>
  <c r="AM685" i="1" a="1"/>
  <c r="AM685" i="1" s="1"/>
  <c r="AM686" i="1" a="1"/>
  <c r="AM686" i="1" s="1"/>
  <c r="AM687" i="1" a="1"/>
  <c r="AM687" i="1" s="1"/>
  <c r="AM688" i="1" a="1"/>
  <c r="AM688" i="1" s="1"/>
  <c r="AM689" i="1" a="1"/>
  <c r="AM689" i="1" s="1"/>
  <c r="AM690" i="1" a="1"/>
  <c r="AM690" i="1" s="1"/>
  <c r="AM691" i="1" a="1"/>
  <c r="AM691" i="1" s="1"/>
  <c r="AM692" i="1" a="1"/>
  <c r="AM692" i="1" s="1"/>
  <c r="AM693" i="1" a="1"/>
  <c r="AM693" i="1" s="1"/>
  <c r="AM694" i="1" a="1"/>
  <c r="AM694" i="1" s="1"/>
  <c r="AM695" i="1" a="1"/>
  <c r="AM695" i="1" s="1"/>
  <c r="AM696" i="1" a="1"/>
  <c r="AM696" i="1" s="1"/>
  <c r="AM697" i="1" a="1"/>
  <c r="AM697" i="1" s="1"/>
  <c r="AM698" i="1" a="1"/>
  <c r="AM698" i="1" s="1"/>
  <c r="AM699" i="1" a="1"/>
  <c r="AM699" i="1" s="1"/>
  <c r="AM700" i="1" a="1"/>
  <c r="AM700" i="1" s="1"/>
  <c r="AM701" i="1" a="1"/>
  <c r="AM701" i="1" s="1"/>
  <c r="AM702" i="1" a="1"/>
  <c r="AM702" i="1" s="1"/>
  <c r="AM703" i="1" a="1"/>
  <c r="AM703" i="1" s="1"/>
  <c r="AM704" i="1" a="1"/>
  <c r="AM704" i="1" s="1"/>
  <c r="AM705" i="1" a="1"/>
  <c r="AM705" i="1" s="1"/>
  <c r="AM706" i="1" a="1"/>
  <c r="AM706" i="1" s="1"/>
  <c r="AM707" i="1" a="1"/>
  <c r="AM707" i="1" s="1"/>
  <c r="AM708" i="1" a="1"/>
  <c r="AM708" i="1" s="1"/>
  <c r="AM709" i="1" a="1"/>
  <c r="AM709" i="1" s="1"/>
  <c r="AM710" i="1" a="1"/>
  <c r="AM710" i="1" s="1"/>
  <c r="AM711" i="1" a="1"/>
  <c r="AM711" i="1" s="1"/>
  <c r="AM712" i="1" a="1"/>
  <c r="AM712" i="1" s="1"/>
  <c r="AM713" i="1" a="1"/>
  <c r="AM713" i="1" s="1"/>
  <c r="AM714" i="1" a="1"/>
  <c r="AM714" i="1" s="1"/>
  <c r="AM715" i="1" a="1"/>
  <c r="AM715" i="1" s="1"/>
  <c r="AM716" i="1" a="1"/>
  <c r="AM716" i="1" s="1"/>
  <c r="AM717" i="1" a="1"/>
  <c r="AM717" i="1" s="1"/>
  <c r="AM718" i="1" a="1"/>
  <c r="AM718" i="1" s="1"/>
  <c r="AM719" i="1" a="1"/>
  <c r="AM719" i="1" s="1"/>
  <c r="AM720" i="1" a="1"/>
  <c r="AM720" i="1" s="1"/>
  <c r="AM721" i="1" a="1"/>
  <c r="AM721" i="1" s="1"/>
  <c r="AM722" i="1" a="1"/>
  <c r="AM722" i="1" s="1"/>
  <c r="AM723" i="1" a="1"/>
  <c r="AM723" i="1" s="1"/>
  <c r="AM724" i="1" a="1"/>
  <c r="AM724" i="1" s="1"/>
  <c r="AM725" i="1" a="1"/>
  <c r="AM725" i="1" s="1"/>
  <c r="AM726" i="1" a="1"/>
  <c r="AM726" i="1" s="1"/>
  <c r="AM727" i="1" a="1"/>
  <c r="AM727" i="1" s="1"/>
  <c r="AM728" i="1" a="1"/>
  <c r="AM728" i="1" s="1"/>
  <c r="AM729" i="1" a="1"/>
  <c r="AM729" i="1" s="1"/>
  <c r="AM730" i="1" a="1"/>
  <c r="AM730" i="1" s="1"/>
  <c r="AM731" i="1" a="1"/>
  <c r="AM731" i="1" s="1"/>
  <c r="AM732" i="1" a="1"/>
  <c r="AM732" i="1" s="1"/>
  <c r="AM733" i="1" a="1"/>
  <c r="AM733" i="1" s="1"/>
  <c r="AM734" i="1" a="1"/>
  <c r="AM734" i="1" s="1"/>
  <c r="AM735" i="1" a="1"/>
  <c r="AM735" i="1" s="1"/>
  <c r="AM736" i="1" a="1"/>
  <c r="AM736" i="1" s="1"/>
  <c r="AM737" i="1" a="1"/>
  <c r="AM737" i="1" s="1"/>
  <c r="AM738" i="1" a="1"/>
  <c r="AM738" i="1" s="1"/>
  <c r="AM739" i="1" a="1"/>
  <c r="AM739" i="1" s="1"/>
  <c r="AM740" i="1" a="1"/>
  <c r="AM740" i="1" s="1"/>
  <c r="AM741" i="1" a="1"/>
  <c r="AM741" i="1" s="1"/>
  <c r="AM742" i="1" a="1"/>
  <c r="AM742" i="1" s="1"/>
  <c r="AM743" i="1" a="1"/>
  <c r="AM743" i="1" s="1"/>
  <c r="AM744" i="1" a="1"/>
  <c r="AM744" i="1" s="1"/>
  <c r="AM745" i="1" a="1"/>
  <c r="AM745" i="1" s="1"/>
  <c r="AM746" i="1" a="1"/>
  <c r="AM746" i="1" s="1"/>
  <c r="AM747" i="1" a="1"/>
  <c r="AM747" i="1" s="1"/>
  <c r="AM748" i="1" a="1"/>
  <c r="AM748" i="1" s="1"/>
  <c r="AM749" i="1" a="1"/>
  <c r="AM749" i="1" s="1"/>
  <c r="AM750" i="1" a="1"/>
  <c r="AM750" i="1" s="1"/>
  <c r="AM751" i="1" a="1"/>
  <c r="AM751" i="1" s="1"/>
  <c r="AM752" i="1" a="1"/>
  <c r="AM752" i="1" s="1"/>
  <c r="AM753" i="1" a="1"/>
  <c r="AM753" i="1" s="1"/>
  <c r="AM754" i="1" a="1"/>
  <c r="AM754" i="1" s="1"/>
  <c r="AM755" i="1" a="1"/>
  <c r="AM755" i="1" s="1"/>
  <c r="AM756" i="1" a="1"/>
  <c r="AM756" i="1" s="1"/>
  <c r="AM757" i="1" a="1"/>
  <c r="AM757" i="1" s="1"/>
  <c r="AM758" i="1" a="1"/>
  <c r="AM758" i="1" s="1"/>
  <c r="AM759" i="1" a="1"/>
  <c r="AM759" i="1" s="1"/>
  <c r="AM760" i="1" a="1"/>
  <c r="AM760" i="1" s="1"/>
  <c r="AM761" i="1" a="1"/>
  <c r="AM761" i="1" s="1"/>
  <c r="AM762" i="1" a="1"/>
  <c r="AM762" i="1" s="1"/>
  <c r="AM763" i="1" a="1"/>
  <c r="AM763" i="1" s="1"/>
  <c r="AM764" i="1" a="1"/>
  <c r="AM764" i="1" s="1"/>
  <c r="AM765" i="1" a="1"/>
  <c r="AM765" i="1" s="1"/>
  <c r="AM766" i="1" a="1"/>
  <c r="AM766" i="1" s="1"/>
  <c r="AM767" i="1" a="1"/>
  <c r="AM767" i="1" s="1"/>
  <c r="AM768" i="1" a="1"/>
  <c r="AM768" i="1" s="1"/>
  <c r="AM769" i="1" a="1"/>
  <c r="AM769" i="1" s="1"/>
  <c r="AM770" i="1" a="1"/>
  <c r="AM770" i="1" s="1"/>
  <c r="AM771" i="1" a="1"/>
  <c r="AM771" i="1" s="1"/>
  <c r="AM772" i="1" a="1"/>
  <c r="AM772" i="1" s="1"/>
  <c r="AM773" i="1" a="1"/>
  <c r="AM773" i="1" s="1"/>
  <c r="AM774" i="1" a="1"/>
  <c r="AM774" i="1" s="1"/>
  <c r="AM775" i="1" a="1"/>
  <c r="AM775" i="1" s="1"/>
  <c r="AM776" i="1" a="1"/>
  <c r="AM776" i="1" s="1"/>
  <c r="AM777" i="1" a="1"/>
  <c r="AM777" i="1" s="1"/>
  <c r="AM778" i="1" a="1"/>
  <c r="AM778" i="1" s="1"/>
  <c r="AM779" i="1" a="1"/>
  <c r="AM779" i="1" s="1"/>
  <c r="AM780" i="1" a="1"/>
  <c r="AM780" i="1" s="1"/>
  <c r="AM781" i="1" a="1"/>
  <c r="AM781" i="1" s="1"/>
  <c r="AM782" i="1" a="1"/>
  <c r="AM782" i="1" s="1"/>
  <c r="AM783" i="1" a="1"/>
  <c r="AM783" i="1" s="1"/>
  <c r="AM784" i="1" a="1"/>
  <c r="AM784" i="1" s="1"/>
  <c r="AM785" i="1" a="1"/>
  <c r="AM785" i="1" s="1"/>
  <c r="AM786" i="1" a="1"/>
  <c r="AM786" i="1" s="1"/>
  <c r="AM787" i="1" a="1"/>
  <c r="AM787" i="1" s="1"/>
  <c r="AM788" i="1" a="1"/>
  <c r="AM788" i="1" s="1"/>
  <c r="AM789" i="1" a="1"/>
  <c r="AM789" i="1" s="1"/>
  <c r="AM790" i="1" a="1"/>
  <c r="AM790" i="1" s="1"/>
  <c r="AM791" i="1" a="1"/>
  <c r="AM791" i="1" s="1"/>
  <c r="AM792" i="1" a="1"/>
  <c r="AM792" i="1" s="1"/>
  <c r="AM793" i="1" a="1"/>
  <c r="AM793" i="1" s="1"/>
  <c r="AM794" i="1" a="1"/>
  <c r="AM794" i="1" s="1"/>
  <c r="AM795" i="1" a="1"/>
  <c r="AM795" i="1" s="1"/>
  <c r="AM796" i="1" a="1"/>
  <c r="AM796" i="1" s="1"/>
  <c r="AM797" i="1" a="1"/>
  <c r="AM797" i="1" s="1"/>
  <c r="AM798" i="1" a="1"/>
  <c r="AM798" i="1" s="1"/>
  <c r="AM799" i="1" a="1"/>
  <c r="AM799" i="1" s="1"/>
  <c r="AM800" i="1" a="1"/>
  <c r="AM800" i="1" s="1"/>
  <c r="AM801" i="1" a="1"/>
  <c r="AM801" i="1" s="1"/>
  <c r="AM802" i="1" a="1"/>
  <c r="AM802" i="1" s="1"/>
  <c r="AM803" i="1" a="1"/>
  <c r="AM803" i="1" s="1"/>
  <c r="AM804" i="1" a="1"/>
  <c r="AM804" i="1" s="1"/>
  <c r="AM805" i="1" a="1"/>
  <c r="AM805" i="1" s="1"/>
  <c r="AM806" i="1" a="1"/>
  <c r="AM806" i="1" s="1"/>
  <c r="AM807" i="1" a="1"/>
  <c r="AM807" i="1" s="1"/>
  <c r="AM808" i="1" a="1"/>
  <c r="AM808" i="1" s="1"/>
  <c r="AM809" i="1" a="1"/>
  <c r="AM809" i="1" s="1"/>
  <c r="AM810" i="1" a="1"/>
  <c r="AM810" i="1" s="1"/>
  <c r="AM811" i="1" a="1"/>
  <c r="AM811" i="1" s="1"/>
  <c r="AM812" i="1" a="1"/>
  <c r="AM812" i="1" s="1"/>
  <c r="AM813" i="1" a="1"/>
  <c r="AM813" i="1" s="1"/>
  <c r="AM814" i="1" a="1"/>
  <c r="AM814" i="1" s="1"/>
  <c r="AM815" i="1" a="1"/>
  <c r="AM815" i="1" s="1"/>
  <c r="AM816" i="1" a="1"/>
  <c r="AM816" i="1" s="1"/>
  <c r="AM817" i="1" a="1"/>
  <c r="AM817" i="1" s="1"/>
  <c r="AM818" i="1" a="1"/>
  <c r="AM818" i="1" s="1"/>
  <c r="AM819" i="1" a="1"/>
  <c r="AM819" i="1" s="1"/>
  <c r="AM820" i="1" a="1"/>
  <c r="AM820" i="1" s="1"/>
  <c r="AM821" i="1" a="1"/>
  <c r="AM821" i="1" s="1"/>
  <c r="AM822" i="1" a="1"/>
  <c r="AM822" i="1" s="1"/>
  <c r="AM823" i="1" a="1"/>
  <c r="AM823" i="1" s="1"/>
  <c r="AM824" i="1" a="1"/>
  <c r="AM824" i="1" s="1"/>
  <c r="AM825" i="1" a="1"/>
  <c r="AM825" i="1" s="1"/>
  <c r="AM826" i="1" a="1"/>
  <c r="AM826" i="1" s="1"/>
  <c r="AM827" i="1" a="1"/>
  <c r="AM827" i="1" s="1"/>
  <c r="AM828" i="1" a="1"/>
  <c r="AM828" i="1" s="1"/>
  <c r="AM829" i="1" a="1"/>
  <c r="AM829" i="1" s="1"/>
  <c r="AM830" i="1" a="1"/>
  <c r="AM830" i="1" s="1"/>
  <c r="AM831" i="1" a="1"/>
  <c r="AM831" i="1" s="1"/>
  <c r="AM832" i="1" a="1"/>
  <c r="AM832" i="1" s="1"/>
  <c r="AM833" i="1" a="1"/>
  <c r="AM833" i="1" s="1"/>
  <c r="AM834" i="1" a="1"/>
  <c r="AM834" i="1" s="1"/>
  <c r="AM835" i="1" a="1"/>
  <c r="AM835" i="1" s="1"/>
  <c r="AM836" i="1" a="1"/>
  <c r="AM836" i="1" s="1"/>
  <c r="AM837" i="1" a="1"/>
  <c r="AM837" i="1" s="1"/>
  <c r="AM838" i="1" a="1"/>
  <c r="AM838" i="1" s="1"/>
  <c r="AM839" i="1" a="1"/>
  <c r="AM839" i="1" s="1"/>
  <c r="AM840" i="1" a="1"/>
  <c r="AM840" i="1" s="1"/>
  <c r="AM841" i="1" a="1"/>
  <c r="AM841" i="1" s="1"/>
  <c r="AM842" i="1" a="1"/>
  <c r="AM842" i="1" s="1"/>
  <c r="AM843" i="1" a="1"/>
  <c r="AM843" i="1" s="1"/>
  <c r="AM844" i="1" a="1"/>
  <c r="AM844" i="1" s="1"/>
  <c r="AM845" i="1" a="1"/>
  <c r="AM845" i="1" s="1"/>
  <c r="AM846" i="1" a="1"/>
  <c r="AM846" i="1" s="1"/>
  <c r="AM847" i="1" a="1"/>
  <c r="AM847" i="1" s="1"/>
  <c r="AM848" i="1" a="1"/>
  <c r="AM848" i="1" s="1"/>
  <c r="AM849" i="1" a="1"/>
  <c r="AM849" i="1" s="1"/>
  <c r="AM850" i="1" a="1"/>
  <c r="AM850" i="1" s="1"/>
  <c r="AM851" i="1" a="1"/>
  <c r="AM851" i="1" s="1"/>
  <c r="AM852" i="1" a="1"/>
  <c r="AM852" i="1" s="1"/>
  <c r="AM853" i="1" a="1"/>
  <c r="AM853" i="1" s="1"/>
  <c r="AM854" i="1" a="1"/>
  <c r="AM854" i="1" s="1"/>
  <c r="AM855" i="1" a="1"/>
  <c r="AM855" i="1" s="1"/>
  <c r="AM856" i="1" a="1"/>
  <c r="AM856" i="1" s="1"/>
  <c r="AM857" i="1" a="1"/>
  <c r="AM857" i="1" s="1"/>
  <c r="AM858" i="1" a="1"/>
  <c r="AM858" i="1" s="1"/>
  <c r="AM859" i="1" a="1"/>
  <c r="AM859" i="1" s="1"/>
  <c r="AM860" i="1" a="1"/>
  <c r="AM860" i="1" s="1"/>
  <c r="AM861" i="1" a="1"/>
  <c r="AM861" i="1" s="1"/>
  <c r="AM862" i="1" a="1"/>
  <c r="AM862" i="1" s="1"/>
  <c r="AM863" i="1" a="1"/>
  <c r="AM863" i="1" s="1"/>
  <c r="AM864" i="1" a="1"/>
  <c r="AM864" i="1" s="1"/>
  <c r="AM865" i="1" a="1"/>
  <c r="AM865" i="1" s="1"/>
  <c r="AM866" i="1" a="1"/>
  <c r="AM866" i="1" s="1"/>
  <c r="AM867" i="1" a="1"/>
  <c r="AM867" i="1" s="1"/>
  <c r="AM868" i="1" a="1"/>
  <c r="AM868" i="1" s="1"/>
  <c r="AM869" i="1" a="1"/>
  <c r="AM869" i="1" s="1"/>
  <c r="AM870" i="1" a="1"/>
  <c r="AM870" i="1" s="1"/>
  <c r="AM871" i="1" a="1"/>
  <c r="AM871" i="1" s="1"/>
  <c r="AM872" i="1" a="1"/>
  <c r="AM872" i="1" s="1"/>
  <c r="AM873" i="1" a="1"/>
  <c r="AM873" i="1" s="1"/>
  <c r="AM874" i="1" a="1"/>
  <c r="AM874" i="1" s="1"/>
  <c r="AM875" i="1" a="1"/>
  <c r="AM875" i="1" s="1"/>
  <c r="AM876" i="1" a="1"/>
  <c r="AM876" i="1" s="1"/>
  <c r="AM877" i="1" a="1"/>
  <c r="AM877" i="1" s="1"/>
  <c r="AM878" i="1" a="1"/>
  <c r="AM878" i="1" s="1"/>
  <c r="AM879" i="1" a="1"/>
  <c r="AM879" i="1" s="1"/>
  <c r="AM880" i="1" a="1"/>
  <c r="AM880" i="1" s="1"/>
  <c r="AM881" i="1" a="1"/>
  <c r="AM881" i="1" s="1"/>
  <c r="AM882" i="1" a="1"/>
  <c r="AM882" i="1" s="1"/>
  <c r="AM883" i="1" a="1"/>
  <c r="AM883" i="1" s="1"/>
  <c r="AM884" i="1" a="1"/>
  <c r="AM884" i="1" s="1"/>
  <c r="AM885" i="1" a="1"/>
  <c r="AM885" i="1" s="1"/>
  <c r="AM886" i="1" a="1"/>
  <c r="AM886" i="1" s="1"/>
  <c r="AM887" i="1" a="1"/>
  <c r="AM887" i="1" s="1"/>
  <c r="AM888" i="1" a="1"/>
  <c r="AM888" i="1" s="1"/>
  <c r="AM889" i="1" a="1"/>
  <c r="AM889" i="1" s="1"/>
  <c r="AM890" i="1" a="1"/>
  <c r="AM890" i="1" s="1"/>
  <c r="AM891" i="1" a="1"/>
  <c r="AM891" i="1" s="1"/>
  <c r="AM892" i="1" a="1"/>
  <c r="AM892" i="1" s="1"/>
  <c r="AM893" i="1" a="1"/>
  <c r="AM893" i="1" s="1"/>
  <c r="AM894" i="1" a="1"/>
  <c r="AM894" i="1" s="1"/>
  <c r="AM895" i="1" a="1"/>
  <c r="AM895" i="1" s="1"/>
  <c r="AM896" i="1" a="1"/>
  <c r="AM896" i="1" s="1"/>
  <c r="AM897" i="1" a="1"/>
  <c r="AM897" i="1" s="1"/>
  <c r="AM898" i="1" a="1"/>
  <c r="AM898" i="1" s="1"/>
  <c r="AM899" i="1" a="1"/>
  <c r="AM899" i="1" s="1"/>
  <c r="AM900" i="1" a="1"/>
  <c r="AM900" i="1" s="1"/>
  <c r="AM901" i="1" a="1"/>
  <c r="AM901" i="1" s="1"/>
  <c r="AM902" i="1" a="1"/>
  <c r="AM902" i="1" s="1"/>
  <c r="AM903" i="1" a="1"/>
  <c r="AM903" i="1" s="1"/>
  <c r="AM904" i="1" a="1"/>
  <c r="AM904" i="1" s="1"/>
  <c r="AM905" i="1" a="1"/>
  <c r="AM905" i="1" s="1"/>
  <c r="AM906" i="1" a="1"/>
  <c r="AM906" i="1" s="1"/>
  <c r="AM907" i="1" a="1"/>
  <c r="AM907" i="1" s="1"/>
  <c r="AM908" i="1" a="1"/>
  <c r="AM908" i="1" s="1"/>
  <c r="AM909" i="1" a="1"/>
  <c r="AM909" i="1" s="1"/>
  <c r="AM910" i="1" a="1"/>
  <c r="AM910" i="1" s="1"/>
  <c r="AM911" i="1" a="1"/>
  <c r="AM911" i="1" s="1"/>
  <c r="AM912" i="1" a="1"/>
  <c r="AM912" i="1" s="1"/>
  <c r="AM913" i="1" a="1"/>
  <c r="AM913" i="1" s="1"/>
  <c r="AM914" i="1" a="1"/>
  <c r="AM914" i="1" s="1"/>
  <c r="AM915" i="1" a="1"/>
  <c r="AM915" i="1" s="1"/>
  <c r="AM916" i="1" a="1"/>
  <c r="AM916" i="1" s="1"/>
  <c r="AM917" i="1" a="1"/>
  <c r="AM917" i="1" s="1"/>
  <c r="AM918" i="1" a="1"/>
  <c r="AM918" i="1" s="1"/>
  <c r="AM919" i="1" a="1"/>
  <c r="AM919" i="1" s="1"/>
  <c r="AM920" i="1" a="1"/>
  <c r="AM920" i="1" s="1"/>
  <c r="AM921" i="1" a="1"/>
  <c r="AM921" i="1" s="1"/>
  <c r="AM922" i="1" a="1"/>
  <c r="AM922" i="1" s="1"/>
  <c r="AM923" i="1" a="1"/>
  <c r="AM923" i="1" s="1"/>
  <c r="AM924" i="1" a="1"/>
  <c r="AM924" i="1" s="1"/>
  <c r="AM925" i="1" a="1"/>
  <c r="AM925" i="1" s="1"/>
  <c r="AM926" i="1" a="1"/>
  <c r="AM926" i="1" s="1"/>
  <c r="AM927" i="1" a="1"/>
  <c r="AM927" i="1" s="1"/>
  <c r="AM928" i="1" a="1"/>
  <c r="AM928" i="1" s="1"/>
  <c r="AM929" i="1" a="1"/>
  <c r="AM929" i="1" s="1"/>
  <c r="AM930" i="1" a="1"/>
  <c r="AM930" i="1" s="1"/>
  <c r="AM931" i="1" a="1"/>
  <c r="AM931" i="1" s="1"/>
  <c r="AM932" i="1" a="1"/>
  <c r="AM932" i="1" s="1"/>
  <c r="AM933" i="1" a="1"/>
  <c r="AM933" i="1" s="1"/>
  <c r="AM934" i="1" a="1"/>
  <c r="AM934" i="1" s="1"/>
  <c r="AM935" i="1" a="1"/>
  <c r="AM935" i="1" s="1"/>
  <c r="AM936" i="1" a="1"/>
  <c r="AM936" i="1" s="1"/>
  <c r="AM937" i="1" a="1"/>
  <c r="AM937" i="1" s="1"/>
  <c r="AM938" i="1" a="1"/>
  <c r="AM938" i="1" s="1"/>
  <c r="AM939" i="1" a="1"/>
  <c r="AM939" i="1" s="1"/>
  <c r="AM940" i="1" a="1"/>
  <c r="AM940" i="1" s="1"/>
  <c r="AM941" i="1" a="1"/>
  <c r="AM941" i="1" s="1"/>
  <c r="AM942" i="1" a="1"/>
  <c r="AM942" i="1" s="1"/>
  <c r="AM943" i="1" a="1"/>
  <c r="AM943" i="1" s="1"/>
  <c r="AM944" i="1" a="1"/>
  <c r="AM944" i="1" s="1"/>
  <c r="AM945" i="1" a="1"/>
  <c r="AM945" i="1" s="1"/>
  <c r="AM946" i="1" a="1"/>
  <c r="AM946" i="1" s="1"/>
  <c r="AM947" i="1" a="1"/>
  <c r="AM947" i="1" s="1"/>
  <c r="AM948" i="1" a="1"/>
  <c r="AM948" i="1" s="1"/>
  <c r="AM949" i="1" a="1"/>
  <c r="AM949" i="1" s="1"/>
  <c r="AM950" i="1" a="1"/>
  <c r="AM950" i="1" s="1"/>
  <c r="AM951" i="1" a="1"/>
  <c r="AM951" i="1" s="1"/>
  <c r="AM952" i="1" a="1"/>
  <c r="AM952" i="1" s="1"/>
  <c r="AM953" i="1" a="1"/>
  <c r="AM953" i="1" s="1"/>
  <c r="AM954" i="1" a="1"/>
  <c r="AM954" i="1" s="1"/>
  <c r="AM955" i="1" a="1"/>
  <c r="AM955" i="1" s="1"/>
  <c r="AM956" i="1" a="1"/>
  <c r="AM956" i="1" s="1"/>
  <c r="AM957" i="1" a="1"/>
  <c r="AM957" i="1" s="1"/>
  <c r="AM958" i="1" a="1"/>
  <c r="AM958" i="1" s="1"/>
  <c r="AM959" i="1" a="1"/>
  <c r="AM959" i="1" s="1"/>
  <c r="AM960" i="1" a="1"/>
  <c r="AM960" i="1" s="1"/>
  <c r="AM961" i="1" a="1"/>
  <c r="AM961" i="1" s="1"/>
  <c r="AM962" i="1" a="1"/>
  <c r="AM962" i="1" s="1"/>
  <c r="AM963" i="1" a="1"/>
  <c r="AM963" i="1" s="1"/>
  <c r="AM964" i="1" a="1"/>
  <c r="AM964" i="1" s="1"/>
  <c r="AM965" i="1" a="1"/>
  <c r="AM965" i="1" s="1"/>
  <c r="AM966" i="1" a="1"/>
  <c r="AM966" i="1" s="1"/>
  <c r="AM967" i="1" a="1"/>
  <c r="AM967" i="1" s="1"/>
  <c r="AM968" i="1" a="1"/>
  <c r="AM968" i="1" s="1"/>
  <c r="AM969" i="1" a="1"/>
  <c r="AM969" i="1" s="1"/>
  <c r="AM970" i="1" a="1"/>
  <c r="AM970" i="1" s="1"/>
  <c r="AM971" i="1" a="1"/>
  <c r="AM971" i="1" s="1"/>
  <c r="AM972" i="1" a="1"/>
  <c r="AM972" i="1" s="1"/>
  <c r="AM973" i="1" a="1"/>
  <c r="AM973" i="1" s="1"/>
  <c r="AM974" i="1" a="1"/>
  <c r="AM974" i="1" s="1"/>
  <c r="AM975" i="1" a="1"/>
  <c r="AM975" i="1" s="1"/>
  <c r="AM976" i="1" a="1"/>
  <c r="AM976" i="1" s="1"/>
  <c r="AM977" i="1" a="1"/>
  <c r="AM977" i="1" s="1"/>
  <c r="AM978" i="1" a="1"/>
  <c r="AM978" i="1" s="1"/>
  <c r="AM979" i="1" a="1"/>
  <c r="AM979" i="1" s="1"/>
  <c r="AM980" i="1" a="1"/>
  <c r="AM980" i="1" s="1"/>
  <c r="AM981" i="1" a="1"/>
  <c r="AM981" i="1" s="1"/>
  <c r="AM982" i="1" a="1"/>
  <c r="AM982" i="1" s="1"/>
  <c r="AM983" i="1" a="1"/>
  <c r="AM983" i="1" s="1"/>
  <c r="AM984" i="1" a="1"/>
  <c r="AM984" i="1" s="1"/>
  <c r="AM985" i="1" a="1"/>
  <c r="AM985" i="1" s="1"/>
  <c r="AM986" i="1" a="1"/>
  <c r="AM986" i="1" s="1"/>
  <c r="AM987" i="1" a="1"/>
  <c r="AM987" i="1" s="1"/>
  <c r="AM988" i="1" a="1"/>
  <c r="AM988" i="1" s="1"/>
  <c r="AM989" i="1" a="1"/>
  <c r="AM989" i="1" s="1"/>
  <c r="AM990" i="1" a="1"/>
  <c r="AM990" i="1" s="1"/>
  <c r="AM991" i="1" a="1"/>
  <c r="AM991" i="1" s="1"/>
  <c r="AM992" i="1" a="1"/>
  <c r="AM992" i="1" s="1"/>
  <c r="AM993" i="1" a="1"/>
  <c r="AM993" i="1" s="1"/>
  <c r="AM994" i="1" a="1"/>
  <c r="AM994" i="1" s="1"/>
  <c r="AM995" i="1" a="1"/>
  <c r="AM995" i="1" s="1"/>
  <c r="AM996" i="1" a="1"/>
  <c r="AM996" i="1" s="1"/>
  <c r="AM997" i="1" a="1"/>
  <c r="AM997" i="1" s="1"/>
  <c r="AM998" i="1" a="1"/>
  <c r="AM998" i="1" s="1"/>
  <c r="AM999" i="1" a="1"/>
  <c r="AM999" i="1" s="1"/>
  <c r="AM1000" i="1" a="1"/>
  <c r="AM1000" i="1" s="1"/>
  <c r="AM1001" i="1" a="1"/>
  <c r="AM1001" i="1" s="1"/>
  <c r="AM1002" i="1" a="1"/>
  <c r="AM1002" i="1" s="1"/>
  <c r="AM1003" i="1" a="1"/>
  <c r="AM1003" i="1" s="1"/>
  <c r="AM1004" i="1" a="1"/>
  <c r="AM1004" i="1" s="1"/>
  <c r="AM1005" i="1" a="1"/>
  <c r="AM1005" i="1" s="1"/>
  <c r="AM1006" i="1" a="1"/>
  <c r="AM1006" i="1" s="1"/>
  <c r="AM1007" i="1" a="1"/>
  <c r="AM1007" i="1" s="1"/>
  <c r="AM1008" i="1" a="1"/>
  <c r="AM1008" i="1" s="1"/>
  <c r="AM1009" i="1" a="1"/>
  <c r="AM1009" i="1" s="1"/>
  <c r="AM1010" i="1" a="1"/>
  <c r="AM1010" i="1" s="1"/>
  <c r="AM1011" i="1" a="1"/>
  <c r="AM1011" i="1" s="1"/>
  <c r="AM1012" i="1" a="1"/>
  <c r="AM1012" i="1" s="1"/>
  <c r="AM1013" i="1" a="1"/>
  <c r="AM1013" i="1" s="1"/>
  <c r="AM1014" i="1" a="1"/>
  <c r="AM1014" i="1" s="1"/>
  <c r="AM1015" i="1" a="1"/>
  <c r="AM1015" i="1" s="1"/>
  <c r="AM1016" i="1" a="1"/>
  <c r="AM1016" i="1" s="1"/>
  <c r="AM1017" i="1" a="1"/>
  <c r="AM1017" i="1" s="1"/>
  <c r="AM1018" i="1" a="1"/>
  <c r="AM1018" i="1" s="1"/>
  <c r="AM1019" i="1" a="1"/>
  <c r="AM1019" i="1" s="1"/>
  <c r="AM1020" i="1" a="1"/>
  <c r="AM1020" i="1" s="1"/>
  <c r="AM1021" i="1" a="1"/>
  <c r="AM1021" i="1" s="1"/>
  <c r="AM1022" i="1" a="1"/>
  <c r="AM1022" i="1" s="1"/>
  <c r="AM1023" i="1" a="1"/>
  <c r="AM1023" i="1" s="1"/>
  <c r="AM1024" i="1" a="1"/>
  <c r="AM1024" i="1" s="1"/>
  <c r="AM1025" i="1" a="1"/>
  <c r="AM1025" i="1" s="1"/>
  <c r="AM1026" i="1" a="1"/>
  <c r="AM1026" i="1" s="1"/>
  <c r="AM1027" i="1" a="1"/>
  <c r="AM1027" i="1" s="1"/>
  <c r="AM1028" i="1" a="1"/>
  <c r="AM1028" i="1" s="1"/>
  <c r="AM1029" i="1" a="1"/>
  <c r="AM1029" i="1" s="1"/>
  <c r="AM1030" i="1" a="1"/>
  <c r="AM1030" i="1" s="1"/>
  <c r="AM1031" i="1" a="1"/>
  <c r="AM1031" i="1" s="1"/>
  <c r="AM1032" i="1" a="1"/>
  <c r="AM1032" i="1" s="1"/>
  <c r="AM1033" i="1" a="1"/>
  <c r="AM1033" i="1" s="1"/>
  <c r="AM1034" i="1" a="1"/>
  <c r="AM1034" i="1" s="1"/>
  <c r="AM1035" i="1" a="1"/>
  <c r="AM1035" i="1" s="1"/>
  <c r="AM1036" i="1" a="1"/>
  <c r="AM1036" i="1" s="1"/>
  <c r="AM1037" i="1" a="1"/>
  <c r="AM1037" i="1" s="1"/>
  <c r="AM1038" i="1" a="1"/>
  <c r="AM1038" i="1" s="1"/>
  <c r="AM1039" i="1" a="1"/>
  <c r="AM1039" i="1" s="1"/>
  <c r="AM1040" i="1" a="1"/>
  <c r="AM1040" i="1" s="1"/>
  <c r="AM1041" i="1" a="1"/>
  <c r="AM1041" i="1" s="1"/>
  <c r="AM1042" i="1" a="1"/>
  <c r="AM1042" i="1" s="1"/>
  <c r="AM1043" i="1" a="1"/>
  <c r="AM1043" i="1" s="1"/>
  <c r="AM1044" i="1" a="1"/>
  <c r="AM1044" i="1" s="1"/>
  <c r="AM1045" i="1" a="1"/>
  <c r="AM1045" i="1" s="1"/>
  <c r="AM1046" i="1" a="1"/>
  <c r="AM1046" i="1" s="1"/>
  <c r="AM1047" i="1" a="1"/>
  <c r="AM1047" i="1" s="1"/>
  <c r="AM1048" i="1" a="1"/>
  <c r="AM1048" i="1" s="1"/>
  <c r="AM1049" i="1" a="1"/>
  <c r="AM1049" i="1" s="1"/>
  <c r="AM1050" i="1" a="1"/>
  <c r="AM1050" i="1" s="1"/>
  <c r="AM1051" i="1" a="1"/>
  <c r="AM1051" i="1" s="1"/>
  <c r="AM1052" i="1" a="1"/>
  <c r="AM1052" i="1" s="1"/>
  <c r="AM1053" i="1" a="1"/>
  <c r="AM1053" i="1" s="1"/>
  <c r="AM1054" i="1" a="1"/>
  <c r="AM1054" i="1" s="1"/>
  <c r="AM1055" i="1" a="1"/>
  <c r="AM1055" i="1" s="1"/>
  <c r="AM1056" i="1" a="1"/>
  <c r="AM1056" i="1" s="1"/>
  <c r="AM1057" i="1" a="1"/>
  <c r="AM1057" i="1" s="1"/>
  <c r="AM1058" i="1" a="1"/>
  <c r="AM1058" i="1" s="1"/>
  <c r="AM1059" i="1" a="1"/>
  <c r="AM1059" i="1" s="1"/>
  <c r="AM1060" i="1" a="1"/>
  <c r="AM1060" i="1" s="1"/>
  <c r="AM1061" i="1" a="1"/>
  <c r="AM1061" i="1" s="1"/>
  <c r="AM1062" i="1" a="1"/>
  <c r="AM1062" i="1" s="1"/>
  <c r="AM1063" i="1" a="1"/>
  <c r="AM1063" i="1" s="1"/>
  <c r="AM1064" i="1" a="1"/>
  <c r="AM1064" i="1" s="1"/>
  <c r="AM1065" i="1" a="1"/>
  <c r="AM1065" i="1" s="1"/>
  <c r="AM1066" i="1" a="1"/>
  <c r="AM1066" i="1" s="1"/>
  <c r="AM1067" i="1" a="1"/>
  <c r="AM1067" i="1" s="1"/>
  <c r="AM1068" i="1" a="1"/>
  <c r="AM1068" i="1" s="1"/>
  <c r="AM1069" i="1" a="1"/>
  <c r="AM1069" i="1" s="1"/>
  <c r="AM1070" i="1" a="1"/>
  <c r="AM1070" i="1" s="1"/>
  <c r="AM1071" i="1" a="1"/>
  <c r="AM1071" i="1" s="1"/>
  <c r="AM1072" i="1" a="1"/>
  <c r="AM1072" i="1" s="1"/>
  <c r="AM1073" i="1" a="1"/>
  <c r="AM1073" i="1" s="1"/>
  <c r="AM1074" i="1" a="1"/>
  <c r="AM1074" i="1" s="1"/>
  <c r="AM1075" i="1" a="1"/>
  <c r="AM1075" i="1" s="1"/>
  <c r="AM1076" i="1" a="1"/>
  <c r="AM1076" i="1" s="1"/>
  <c r="AM1077" i="1" a="1"/>
  <c r="AM1077" i="1" s="1"/>
  <c r="AM1078" i="1" a="1"/>
  <c r="AM1078" i="1" s="1"/>
  <c r="AM1079" i="1" a="1"/>
  <c r="AM1079" i="1" s="1"/>
  <c r="AM1080" i="1" a="1"/>
  <c r="AM1080" i="1" s="1"/>
  <c r="AM1081" i="1" a="1"/>
  <c r="AM1081" i="1" s="1"/>
  <c r="AM1082" i="1" a="1"/>
  <c r="AM1082" i="1" s="1"/>
  <c r="AM1083" i="1" a="1"/>
  <c r="AM1083" i="1" s="1"/>
  <c r="AM1084" i="1" a="1"/>
  <c r="AM1084" i="1" s="1"/>
  <c r="AM1085" i="1" a="1"/>
  <c r="AM1085" i="1" s="1"/>
  <c r="AM1086" i="1" a="1"/>
  <c r="AM1086" i="1" s="1"/>
  <c r="AM1087" i="1" a="1"/>
  <c r="AM1087" i="1" s="1"/>
  <c r="AM1088" i="1" a="1"/>
  <c r="AM1088" i="1" s="1"/>
  <c r="AM1089" i="1" a="1"/>
  <c r="AM1089" i="1" s="1"/>
  <c r="AM1090" i="1" a="1"/>
  <c r="AM1090" i="1" s="1"/>
  <c r="AM1091" i="1" a="1"/>
  <c r="AM1091" i="1" s="1"/>
  <c r="AM1092" i="1" a="1"/>
  <c r="AM1092" i="1" s="1"/>
  <c r="AM1093" i="1" a="1"/>
  <c r="AM1093" i="1" s="1"/>
  <c r="AM1094" i="1" a="1"/>
  <c r="AM1094" i="1" s="1"/>
  <c r="AM1095" i="1" a="1"/>
  <c r="AM1095" i="1" s="1"/>
  <c r="AM1096" i="1" a="1"/>
  <c r="AM1096" i="1" s="1"/>
  <c r="AM1097" i="1" a="1"/>
  <c r="AM1097" i="1" s="1"/>
  <c r="AM1098" i="1" a="1"/>
  <c r="AM1098" i="1" s="1"/>
  <c r="AM1099" i="1" a="1"/>
  <c r="AM1099" i="1" s="1"/>
  <c r="AM1100" i="1" a="1"/>
  <c r="AM1100" i="1" s="1"/>
  <c r="AM1101" i="1" a="1"/>
  <c r="AM1101" i="1" s="1"/>
  <c r="AM1102" i="1" a="1"/>
  <c r="AM1102" i="1" s="1"/>
  <c r="AM1103" i="1" a="1"/>
  <c r="AM1103" i="1" s="1"/>
  <c r="AM1104" i="1" a="1"/>
  <c r="AM1104" i="1" s="1"/>
  <c r="AM1105" i="1" a="1"/>
  <c r="AM1105" i="1" s="1"/>
  <c r="AM1106" i="1" a="1"/>
  <c r="AM1106" i="1" s="1"/>
  <c r="AM1107" i="1" a="1"/>
  <c r="AM1107" i="1" s="1"/>
  <c r="AM1108" i="1" a="1"/>
  <c r="AM1108" i="1" s="1"/>
  <c r="AM1109" i="1" a="1"/>
  <c r="AM1109" i="1" s="1"/>
  <c r="AM1110" i="1" a="1"/>
  <c r="AM1110" i="1" s="1"/>
  <c r="AM1111" i="1" a="1"/>
  <c r="AM1111" i="1" s="1"/>
  <c r="AM1112" i="1" a="1"/>
  <c r="AM1112" i="1" s="1"/>
  <c r="AM1113" i="1" a="1"/>
  <c r="AM1113" i="1" s="1"/>
  <c r="AM1114" i="1" a="1"/>
  <c r="AM1114" i="1" s="1"/>
  <c r="AM1115" i="1" a="1"/>
  <c r="AM1115" i="1" s="1"/>
  <c r="AM1116" i="1" a="1"/>
  <c r="AM1116" i="1" s="1"/>
  <c r="AM1117" i="1" a="1"/>
  <c r="AM1117" i="1" s="1"/>
  <c r="AM1118" i="1" a="1"/>
  <c r="AM1118" i="1" s="1"/>
  <c r="AM1119" i="1" a="1"/>
  <c r="AM1119" i="1" s="1"/>
  <c r="AM1120" i="1" a="1"/>
  <c r="AM1120" i="1" s="1"/>
  <c r="AM1121" i="1" a="1"/>
  <c r="AM1121" i="1" s="1"/>
  <c r="AM1122" i="1" a="1"/>
  <c r="AM1122" i="1" s="1"/>
  <c r="AM1123" i="1" a="1"/>
  <c r="AM1123" i="1" s="1"/>
  <c r="AM1124" i="1" a="1"/>
  <c r="AM1124" i="1" s="1"/>
  <c r="AM1125" i="1" a="1"/>
  <c r="AM1125" i="1" s="1"/>
  <c r="AM1126" i="1" a="1"/>
  <c r="AM1126" i="1" s="1"/>
  <c r="AM1127" i="1" a="1"/>
  <c r="AM1127" i="1" s="1"/>
  <c r="AM1128" i="1" a="1"/>
  <c r="AM1128" i="1" s="1"/>
  <c r="AM1129" i="1" a="1"/>
  <c r="AM1129" i="1" s="1"/>
  <c r="AM1130" i="1" a="1"/>
  <c r="AM1130" i="1" s="1"/>
  <c r="AM1131" i="1" a="1"/>
  <c r="AM1131" i="1" s="1"/>
  <c r="AM1132" i="1" a="1"/>
  <c r="AM1132" i="1" s="1"/>
  <c r="AM1133" i="1" a="1"/>
  <c r="AM1133" i="1" s="1"/>
  <c r="AM1134" i="1" a="1"/>
  <c r="AM1134" i="1" s="1"/>
  <c r="AM1135" i="1" a="1"/>
  <c r="AM1135" i="1" s="1"/>
  <c r="AM1136" i="1" a="1"/>
  <c r="AM1136" i="1" s="1"/>
  <c r="AM1137" i="1" a="1"/>
  <c r="AM1137" i="1" s="1"/>
  <c r="AM1138" i="1" a="1"/>
  <c r="AM1138" i="1" s="1"/>
  <c r="AM1139" i="1" a="1"/>
  <c r="AM1139" i="1" s="1"/>
  <c r="AM1140" i="1" a="1"/>
  <c r="AM1140" i="1" s="1"/>
  <c r="AM1141" i="1" a="1"/>
  <c r="AM1141" i="1" s="1"/>
  <c r="AM1142" i="1" a="1"/>
  <c r="AM1142" i="1" s="1"/>
  <c r="AM1143" i="1" a="1"/>
  <c r="AM1143" i="1" s="1"/>
  <c r="AM1144" i="1" a="1"/>
  <c r="AM1144" i="1" s="1"/>
  <c r="AM1145" i="1" a="1"/>
  <c r="AM1145" i="1" s="1"/>
  <c r="AM1146" i="1" a="1"/>
  <c r="AM1146" i="1" s="1"/>
  <c r="AM1147" i="1" a="1"/>
  <c r="AM1147" i="1" s="1"/>
  <c r="AM1148" i="1" a="1"/>
  <c r="AM1148" i="1" s="1"/>
  <c r="AM1149" i="1" a="1"/>
  <c r="AM1149" i="1" s="1"/>
  <c r="AM1150" i="1" a="1"/>
  <c r="AM1150" i="1" s="1"/>
  <c r="AM1151" i="1" a="1"/>
  <c r="AM1151" i="1" s="1"/>
  <c r="AM1152" i="1" a="1"/>
  <c r="AM1152" i="1" s="1"/>
  <c r="AM1153" i="1" a="1"/>
  <c r="AM1153" i="1" s="1"/>
  <c r="AM1154" i="1" a="1"/>
  <c r="AM1154" i="1" s="1"/>
  <c r="AM1155" i="1" a="1"/>
  <c r="AM1155" i="1" s="1"/>
  <c r="AM1156" i="1" a="1"/>
  <c r="AM1156" i="1" s="1"/>
  <c r="AM1157" i="1" a="1"/>
  <c r="AM1157" i="1" s="1"/>
  <c r="AM1158" i="1" a="1"/>
  <c r="AM1158" i="1" s="1"/>
  <c r="AM1159" i="1" a="1"/>
  <c r="AM1159" i="1" s="1"/>
  <c r="AM1160" i="1" a="1"/>
  <c r="AM1160" i="1" s="1"/>
  <c r="AM1161" i="1" a="1"/>
  <c r="AM1161" i="1" s="1"/>
  <c r="AM1162" i="1" a="1"/>
  <c r="AM1162" i="1" s="1"/>
  <c r="AM1163" i="1" a="1"/>
  <c r="AM1163" i="1" s="1"/>
  <c r="AM1164" i="1" a="1"/>
  <c r="AM1164" i="1" s="1"/>
  <c r="AM1165" i="1" a="1"/>
  <c r="AM1165" i="1" s="1"/>
  <c r="AM1166" i="1" a="1"/>
  <c r="AM1166" i="1" s="1"/>
  <c r="AM1167" i="1" a="1"/>
  <c r="AM1167" i="1" s="1"/>
  <c r="AM1168" i="1" a="1"/>
  <c r="AM1168" i="1" s="1"/>
  <c r="AM1169" i="1" a="1"/>
  <c r="AM1169" i="1" s="1"/>
  <c r="AM1170" i="1" a="1"/>
  <c r="AM1170" i="1" s="1"/>
  <c r="AM1171" i="1" a="1"/>
  <c r="AM1171" i="1" s="1"/>
  <c r="AM1172" i="1" a="1"/>
  <c r="AM1172" i="1" s="1"/>
  <c r="AM1173" i="1" a="1"/>
  <c r="AM1173" i="1" s="1"/>
  <c r="AM1174" i="1" a="1"/>
  <c r="AM1174" i="1" s="1"/>
  <c r="AM1175" i="1" a="1"/>
  <c r="AM1175" i="1" s="1"/>
  <c r="AM1176" i="1" a="1"/>
  <c r="AM1176" i="1" s="1"/>
  <c r="AM1177" i="1" a="1"/>
  <c r="AM1177" i="1" s="1"/>
  <c r="AM1178" i="1" a="1"/>
  <c r="AM1178" i="1" s="1"/>
  <c r="AM1179" i="1" a="1"/>
  <c r="AM1179" i="1" s="1"/>
  <c r="AM1180" i="1" a="1"/>
  <c r="AM1180" i="1" s="1"/>
  <c r="AM1181" i="1" a="1"/>
  <c r="AM1181" i="1" s="1"/>
  <c r="AM1182" i="1" a="1"/>
  <c r="AM1182" i="1" s="1"/>
  <c r="AM1183" i="1" a="1"/>
  <c r="AM1183" i="1" s="1"/>
  <c r="AM1184" i="1" a="1"/>
  <c r="AM1184" i="1" s="1"/>
  <c r="AM1185" i="1" a="1"/>
  <c r="AM1185" i="1" s="1"/>
  <c r="AM1186" i="1" a="1"/>
  <c r="AM1186" i="1" s="1"/>
  <c r="AM1187" i="1" a="1"/>
  <c r="AM1187" i="1" s="1"/>
  <c r="AM1188" i="1" a="1"/>
  <c r="AM1188" i="1" s="1"/>
  <c r="AM1189" i="1" a="1"/>
  <c r="AM1189" i="1" s="1"/>
  <c r="AM1190" i="1" a="1"/>
  <c r="AM1190" i="1" s="1"/>
  <c r="AM1191" i="1" a="1"/>
  <c r="AM1191" i="1" s="1"/>
  <c r="AM1192" i="1" a="1"/>
  <c r="AM1192" i="1" s="1"/>
  <c r="AM1193" i="1" a="1"/>
  <c r="AM1193" i="1" s="1"/>
  <c r="AM1194" i="1" a="1"/>
  <c r="AM1194" i="1" s="1"/>
  <c r="AM1195" i="1" a="1"/>
  <c r="AM1195" i="1" s="1"/>
  <c r="AM1196" i="1" a="1"/>
  <c r="AM1196" i="1" s="1"/>
  <c r="AM1197" i="1" a="1"/>
  <c r="AM1197" i="1" s="1"/>
  <c r="AM1198" i="1" a="1"/>
  <c r="AM1198" i="1" s="1"/>
  <c r="AM1199" i="1" a="1"/>
  <c r="AM1199" i="1" s="1"/>
  <c r="AM1200" i="1" a="1"/>
  <c r="AM1200" i="1" s="1"/>
  <c r="AM1201" i="1" a="1"/>
  <c r="AM1201" i="1" s="1"/>
  <c r="AM1202" i="1" a="1"/>
  <c r="AM1202" i="1" s="1"/>
  <c r="AM1203" i="1" a="1"/>
  <c r="AM1203" i="1" s="1"/>
  <c r="AM1204" i="1" a="1"/>
  <c r="AM1204" i="1" s="1"/>
  <c r="AM1205" i="1" a="1"/>
  <c r="AM1205" i="1" s="1"/>
  <c r="AM1206" i="1" a="1"/>
  <c r="AM1206" i="1" s="1"/>
  <c r="AM1207" i="1" a="1"/>
  <c r="AM1207" i="1" s="1"/>
  <c r="AM1208" i="1" a="1"/>
  <c r="AM1208" i="1" s="1"/>
  <c r="AM1209" i="1" a="1"/>
  <c r="AM1209" i="1" s="1"/>
  <c r="AM1210" i="1" a="1"/>
  <c r="AM1210" i="1" s="1"/>
  <c r="AM1211" i="1" a="1"/>
  <c r="AM1211" i="1" s="1"/>
  <c r="AM1212" i="1" a="1"/>
  <c r="AM1212" i="1" s="1"/>
  <c r="AM1213" i="1" a="1"/>
  <c r="AM1213" i="1" s="1"/>
  <c r="AM1214" i="1" a="1"/>
  <c r="AM1214" i="1" s="1"/>
  <c r="AM1215" i="1" a="1"/>
  <c r="AM1215" i="1" s="1"/>
  <c r="AM1216" i="1" a="1"/>
  <c r="AM1216" i="1" s="1"/>
  <c r="AM1217" i="1" a="1"/>
  <c r="AM1217" i="1" s="1"/>
  <c r="AM1218" i="1" a="1"/>
  <c r="AM1218" i="1" s="1"/>
  <c r="AM1219" i="1" a="1"/>
  <c r="AM1219" i="1" s="1"/>
  <c r="AM1220" i="1" a="1"/>
  <c r="AM1220" i="1" s="1"/>
  <c r="AM1221" i="1" a="1"/>
  <c r="AM1221" i="1" s="1"/>
  <c r="AM1222" i="1" a="1"/>
  <c r="AM1222" i="1" s="1"/>
  <c r="AM1223" i="1" a="1"/>
  <c r="AM1223" i="1" s="1"/>
  <c r="AM1224" i="1" a="1"/>
  <c r="AM1224" i="1" s="1"/>
  <c r="AM1225" i="1" a="1"/>
  <c r="AM1225" i="1" s="1"/>
  <c r="AM1226" i="1" a="1"/>
  <c r="AM1226" i="1" s="1"/>
  <c r="AM1227" i="1" a="1"/>
  <c r="AM1227" i="1" s="1"/>
  <c r="AM1228" i="1" a="1"/>
  <c r="AM1228" i="1" s="1"/>
  <c r="AM1229" i="1" a="1"/>
  <c r="AM1229" i="1" s="1"/>
  <c r="AM1230" i="1" a="1"/>
  <c r="AM1230" i="1" s="1"/>
  <c r="AM1231" i="1" a="1"/>
  <c r="AM1231" i="1" s="1"/>
  <c r="AM1232" i="1" a="1"/>
  <c r="AM1232" i="1" s="1"/>
  <c r="AM1233" i="1" a="1"/>
  <c r="AM1233" i="1" s="1"/>
  <c r="AM1234" i="1" a="1"/>
  <c r="AM1234" i="1" s="1"/>
  <c r="AM1235" i="1" a="1"/>
  <c r="AM1235" i="1" s="1"/>
  <c r="AM1236" i="1" a="1"/>
  <c r="AM1236" i="1" s="1"/>
  <c r="AM1237" i="1" a="1"/>
  <c r="AM1237" i="1" s="1"/>
  <c r="AM1238" i="1" a="1"/>
  <c r="AM1238" i="1" s="1"/>
  <c r="AM1239" i="1" a="1"/>
  <c r="AM1239" i="1" s="1"/>
  <c r="AM1240" i="1" a="1"/>
  <c r="AM1240" i="1" s="1"/>
  <c r="AM1241" i="1" a="1"/>
  <c r="AM1241" i="1" s="1"/>
  <c r="AM1242" i="1" a="1"/>
  <c r="AM1242" i="1" s="1"/>
  <c r="AM1243" i="1" a="1"/>
  <c r="AM1243" i="1" s="1"/>
  <c r="AM1244" i="1" a="1"/>
  <c r="AM1244" i="1" s="1"/>
  <c r="AM1245" i="1" a="1"/>
  <c r="AM1245" i="1" s="1"/>
  <c r="AM1246" i="1" a="1"/>
  <c r="AM1246" i="1" s="1"/>
  <c r="AM1247" i="1" a="1"/>
  <c r="AM1247" i="1" s="1"/>
  <c r="AM1248" i="1" a="1"/>
  <c r="AM1248" i="1" s="1"/>
  <c r="AM1249" i="1" a="1"/>
  <c r="AM1249" i="1" s="1"/>
  <c r="AM1250" i="1" a="1"/>
  <c r="AM1250" i="1" s="1"/>
  <c r="AM1251" i="1" a="1"/>
  <c r="AM1251" i="1" s="1"/>
  <c r="AM1252" i="1" a="1"/>
  <c r="AM1252" i="1" s="1"/>
  <c r="AM1253" i="1" a="1"/>
  <c r="AM1253" i="1" s="1"/>
  <c r="AM1254" i="1" a="1"/>
  <c r="AM1254" i="1" s="1"/>
  <c r="AM1255" i="1" a="1"/>
  <c r="AM1255" i="1" s="1"/>
  <c r="AM1256" i="1" a="1"/>
  <c r="AM1256" i="1" s="1"/>
  <c r="AM1257" i="1" a="1"/>
  <c r="AM1257" i="1" s="1"/>
  <c r="AM1258" i="1" a="1"/>
  <c r="AM1258" i="1" s="1"/>
  <c r="AM1259" i="1" a="1"/>
  <c r="AM1259" i="1" s="1"/>
  <c r="AM1260" i="1" a="1"/>
  <c r="AM1260" i="1" s="1"/>
  <c r="AM1261" i="1" a="1"/>
  <c r="AM1261" i="1" s="1"/>
  <c r="AM1262" i="1" a="1"/>
  <c r="AM1262" i="1" s="1"/>
  <c r="AM1263" i="1" a="1"/>
  <c r="AM1263" i="1" s="1"/>
  <c r="AM1264" i="1" a="1"/>
  <c r="AM1264" i="1" s="1"/>
  <c r="AM1265" i="1" a="1"/>
  <c r="AM1265" i="1" s="1"/>
  <c r="AM1266" i="1" a="1"/>
  <c r="AM1266" i="1" s="1"/>
  <c r="AM1267" i="1" a="1"/>
  <c r="AM1267" i="1" s="1"/>
  <c r="AM1268" i="1" a="1"/>
  <c r="AM1268" i="1" s="1"/>
  <c r="AM1269" i="1" a="1"/>
  <c r="AM1269" i="1" s="1"/>
  <c r="AM1270" i="1" a="1"/>
  <c r="AM1270" i="1" s="1"/>
  <c r="AM1271" i="1" a="1"/>
  <c r="AM1271" i="1" s="1"/>
  <c r="AM1272" i="1" a="1"/>
  <c r="AM1272" i="1" s="1"/>
  <c r="AM1273" i="1" a="1"/>
  <c r="AM1273" i="1" s="1"/>
  <c r="AM1274" i="1" a="1"/>
  <c r="AM1274" i="1" s="1"/>
  <c r="AM1275" i="1" a="1"/>
  <c r="AM1275" i="1" s="1"/>
  <c r="AM1276" i="1" a="1"/>
  <c r="AM1276" i="1" s="1"/>
  <c r="AM1277" i="1" a="1"/>
  <c r="AM1277" i="1" s="1"/>
  <c r="AM1278" i="1" a="1"/>
  <c r="AM1278" i="1" s="1"/>
  <c r="AM1279" i="1" a="1"/>
  <c r="AM1279" i="1" s="1"/>
  <c r="AM1280" i="1" a="1"/>
  <c r="AM1280" i="1" s="1"/>
  <c r="AM1281" i="1" a="1"/>
  <c r="AM1281" i="1" s="1"/>
  <c r="AM1282" i="1" a="1"/>
  <c r="AM1282" i="1" s="1"/>
  <c r="AM1283" i="1" a="1"/>
  <c r="AM1283" i="1" s="1"/>
  <c r="AM1284" i="1" a="1"/>
  <c r="AM1284" i="1" s="1"/>
  <c r="AM1285" i="1" a="1"/>
  <c r="AM1285" i="1" s="1"/>
  <c r="AM1286" i="1" a="1"/>
  <c r="AM1286" i="1" s="1"/>
  <c r="AM1287" i="1" a="1"/>
  <c r="AM1287" i="1" s="1"/>
  <c r="AM1288" i="1" a="1"/>
  <c r="AM1288" i="1" s="1"/>
  <c r="AM1289" i="1" a="1"/>
  <c r="AM1289" i="1" s="1"/>
  <c r="AM1290" i="1" a="1"/>
  <c r="AM1290" i="1" s="1"/>
  <c r="AM1291" i="1" a="1"/>
  <c r="AM1291" i="1" s="1"/>
  <c r="AM1292" i="1" a="1"/>
  <c r="AM1292" i="1" s="1"/>
  <c r="AM1293" i="1" a="1"/>
  <c r="AM1293" i="1" s="1"/>
  <c r="AM1294" i="1" a="1"/>
  <c r="AM1294" i="1" s="1"/>
  <c r="AM1295" i="1" a="1"/>
  <c r="AM1295" i="1" s="1"/>
  <c r="AM1296" i="1" a="1"/>
  <c r="AM1296" i="1" s="1"/>
  <c r="AM1297" i="1" a="1"/>
  <c r="AM1297" i="1" s="1"/>
  <c r="AM1298" i="1" a="1"/>
  <c r="AM1298" i="1" s="1"/>
  <c r="AM1299" i="1" a="1"/>
  <c r="AM1299" i="1" s="1"/>
  <c r="AM1300" i="1" a="1"/>
  <c r="AM1300" i="1" s="1"/>
  <c r="AM1301" i="1" a="1"/>
  <c r="AM1301" i="1" s="1"/>
  <c r="AM1302" i="1" a="1"/>
  <c r="AM1302" i="1" s="1"/>
  <c r="AM1303" i="1" a="1"/>
  <c r="AM1303" i="1" s="1"/>
  <c r="AM1304" i="1" a="1"/>
  <c r="AM1304" i="1" s="1"/>
  <c r="AM1305" i="1" a="1"/>
  <c r="AM1305" i="1" s="1"/>
  <c r="AM1306" i="1" a="1"/>
  <c r="AM1306" i="1" s="1"/>
  <c r="AM1307" i="1" a="1"/>
  <c r="AM1307" i="1" s="1"/>
  <c r="AM1308" i="1" a="1"/>
  <c r="AM1308" i="1" s="1"/>
  <c r="AM1309" i="1" a="1"/>
  <c r="AM1309" i="1" s="1"/>
  <c r="AM1310" i="1" a="1"/>
  <c r="AM1310" i="1" s="1"/>
  <c r="AM1311" i="1" a="1"/>
  <c r="AM1311" i="1" s="1"/>
  <c r="AM1312" i="1" a="1"/>
  <c r="AM1312" i="1" s="1"/>
  <c r="AM1313" i="1" a="1"/>
  <c r="AM1313" i="1" s="1"/>
  <c r="AM1314" i="1" a="1"/>
  <c r="AM1314" i="1" s="1"/>
  <c r="AM1315" i="1" a="1"/>
  <c r="AM1315" i="1" s="1"/>
  <c r="AM1316" i="1" a="1"/>
  <c r="AM1316" i="1" s="1"/>
  <c r="AM1317" i="1" a="1"/>
  <c r="AM1317" i="1" s="1"/>
  <c r="AM1318" i="1" a="1"/>
  <c r="AM1318" i="1" s="1"/>
  <c r="AM1319" i="1" a="1"/>
  <c r="AM1319" i="1" s="1"/>
  <c r="AM1320" i="1" a="1"/>
  <c r="AM1320" i="1" s="1"/>
  <c r="AM1321" i="1" a="1"/>
  <c r="AM1321" i="1" s="1"/>
  <c r="AM1322" i="1" a="1"/>
  <c r="AM1322" i="1" s="1"/>
  <c r="AM1323" i="1" a="1"/>
  <c r="AM1323" i="1" s="1"/>
  <c r="AM1324" i="1" a="1"/>
  <c r="AM1324" i="1" s="1"/>
  <c r="AM1325" i="1" a="1"/>
  <c r="AM1325" i="1" s="1"/>
  <c r="AM1326" i="1" a="1"/>
  <c r="AM1326" i="1" s="1"/>
  <c r="AM1327" i="1" a="1"/>
  <c r="AM1327" i="1" s="1"/>
  <c r="AM1328" i="1" a="1"/>
  <c r="AM1328" i="1" s="1"/>
  <c r="AM1329" i="1" a="1"/>
  <c r="AM1329" i="1" s="1"/>
  <c r="AM1330" i="1" a="1"/>
  <c r="AM1330" i="1" s="1"/>
  <c r="AM1331" i="1" a="1"/>
  <c r="AM1331" i="1" s="1"/>
  <c r="AM1332" i="1" a="1"/>
  <c r="AM1332" i="1" s="1"/>
  <c r="AM1333" i="1" a="1"/>
  <c r="AM1333" i="1" s="1"/>
  <c r="AM1334" i="1" a="1"/>
  <c r="AM1334" i="1" s="1"/>
  <c r="AM1335" i="1" a="1"/>
  <c r="AM1335" i="1" s="1"/>
  <c r="AM1336" i="1" a="1"/>
  <c r="AM1336" i="1" s="1"/>
  <c r="AM1337" i="1" a="1"/>
  <c r="AM1337" i="1" s="1"/>
  <c r="AM1338" i="1" a="1"/>
  <c r="AM1338" i="1" s="1"/>
  <c r="AM1339" i="1" a="1"/>
  <c r="AM1339" i="1" s="1"/>
  <c r="AM1340" i="1" a="1"/>
  <c r="AM1340" i="1" s="1"/>
  <c r="AM1341" i="1" a="1"/>
  <c r="AM1341" i="1" s="1"/>
  <c r="AM1342" i="1" a="1"/>
  <c r="AM1342" i="1" s="1"/>
  <c r="AM1343" i="1" a="1"/>
  <c r="AM1343" i="1" s="1"/>
  <c r="AM1344" i="1" a="1"/>
  <c r="AM1344" i="1" s="1"/>
  <c r="AM1345" i="1" a="1"/>
  <c r="AM1345" i="1" s="1"/>
  <c r="AM1346" i="1" a="1"/>
  <c r="AM1346" i="1" s="1"/>
  <c r="AM1347" i="1" a="1"/>
  <c r="AM1347" i="1" s="1"/>
  <c r="AM1348" i="1" a="1"/>
  <c r="AM1348" i="1" s="1"/>
  <c r="AM1349" i="1" a="1"/>
  <c r="AM1349" i="1" s="1"/>
  <c r="AM1350" i="1" a="1"/>
  <c r="AM1350" i="1" s="1"/>
  <c r="AM1351" i="1" a="1"/>
  <c r="AM1351" i="1" s="1"/>
  <c r="AM1352" i="1" a="1"/>
  <c r="AM1352" i="1" s="1"/>
  <c r="AM1353" i="1" a="1"/>
  <c r="AM1353" i="1" s="1"/>
  <c r="AM1354" i="1" a="1"/>
  <c r="AM1354" i="1" s="1"/>
  <c r="AM1355" i="1" a="1"/>
  <c r="AM1355" i="1" s="1"/>
  <c r="AM1356" i="1" a="1"/>
  <c r="AM1356" i="1" s="1"/>
  <c r="AM1357" i="1" a="1"/>
  <c r="AM1357" i="1" s="1"/>
  <c r="AM1358" i="1" a="1"/>
  <c r="AM1358" i="1" s="1"/>
  <c r="AM1359" i="1" a="1"/>
  <c r="AM1359" i="1" s="1"/>
  <c r="AM1360" i="1" a="1"/>
  <c r="AM1360" i="1" s="1"/>
  <c r="AM1361" i="1" a="1"/>
  <c r="AM1361" i="1" s="1"/>
  <c r="AM1362" i="1" a="1"/>
  <c r="AM1362" i="1" s="1"/>
  <c r="AM1363" i="1" a="1"/>
  <c r="AM1363" i="1" s="1"/>
  <c r="AM1364" i="1" a="1"/>
  <c r="AM1364" i="1" s="1"/>
  <c r="AM1365" i="1" a="1"/>
  <c r="AM1365" i="1" s="1"/>
  <c r="AM1366" i="1" a="1"/>
  <c r="AM1366" i="1" s="1"/>
  <c r="AM1367" i="1" a="1"/>
  <c r="AM1367" i="1" s="1"/>
  <c r="AM1368" i="1" a="1"/>
  <c r="AM1368" i="1" s="1"/>
  <c r="AM1369" i="1" a="1"/>
  <c r="AM1369" i="1" s="1"/>
  <c r="AM1370" i="1" a="1"/>
  <c r="AM1370" i="1" s="1"/>
  <c r="AM1371" i="1" a="1"/>
  <c r="AM1371" i="1" s="1"/>
  <c r="AM1372" i="1" a="1"/>
  <c r="AM1372" i="1" s="1"/>
  <c r="AM1373" i="1" a="1"/>
  <c r="AM1373" i="1" s="1"/>
  <c r="AM1374" i="1" a="1"/>
  <c r="AM1374" i="1" s="1"/>
  <c r="AM1375" i="1" a="1"/>
  <c r="AM1375" i="1" s="1"/>
  <c r="AM1376" i="1" a="1"/>
  <c r="AM1376" i="1" s="1"/>
  <c r="AM1377" i="1" a="1"/>
  <c r="AM1377" i="1" s="1"/>
  <c r="AM1378" i="1" a="1"/>
  <c r="AM1378" i="1" s="1"/>
  <c r="AM1379" i="1" a="1"/>
  <c r="AM1379" i="1" s="1"/>
  <c r="AM1380" i="1" a="1"/>
  <c r="AM1380" i="1" s="1"/>
  <c r="AM1381" i="1" a="1"/>
  <c r="AM1381" i="1" s="1"/>
  <c r="AM1382" i="1" a="1"/>
  <c r="AM1382" i="1" s="1"/>
  <c r="AM1383" i="1" a="1"/>
  <c r="AM1383" i="1" s="1"/>
  <c r="AM1384" i="1" a="1"/>
  <c r="AM1384" i="1" s="1"/>
  <c r="AM1385" i="1" a="1"/>
  <c r="AM1385" i="1" s="1"/>
  <c r="AM1386" i="1" a="1"/>
  <c r="AM1386" i="1" s="1"/>
  <c r="AM1387" i="1" a="1"/>
  <c r="AM1387" i="1" s="1"/>
  <c r="AM1388" i="1" a="1"/>
  <c r="AM1388" i="1" s="1"/>
  <c r="AM1389" i="1" a="1"/>
  <c r="AM1389" i="1" s="1"/>
  <c r="AM1390" i="1" a="1"/>
  <c r="AM1390" i="1" s="1"/>
  <c r="AM1391" i="1" a="1"/>
  <c r="AM1391" i="1" s="1"/>
  <c r="AM1392" i="1" a="1"/>
  <c r="AM1392" i="1" s="1"/>
  <c r="AM1393" i="1" a="1"/>
  <c r="AM1393" i="1" s="1"/>
  <c r="AM1394" i="1" a="1"/>
  <c r="AM1394" i="1" s="1"/>
  <c r="AM1395" i="1" a="1"/>
  <c r="AM1395" i="1" s="1"/>
  <c r="AM1396" i="1" a="1"/>
  <c r="AM1396" i="1" s="1"/>
  <c r="AM1397" i="1" a="1"/>
  <c r="AM1397" i="1" s="1"/>
  <c r="AM1398" i="1" a="1"/>
  <c r="AM1398" i="1" s="1"/>
  <c r="AM1399" i="1" a="1"/>
  <c r="AM1399" i="1" s="1"/>
  <c r="AM1400" i="1" a="1"/>
  <c r="AM1400" i="1" s="1"/>
  <c r="AM1401" i="1" a="1"/>
  <c r="AM1401" i="1" s="1"/>
  <c r="AM1402" i="1" a="1"/>
  <c r="AM1402" i="1" s="1"/>
  <c r="AM1403" i="1" a="1"/>
  <c r="AM1403" i="1" s="1"/>
  <c r="AM1404" i="1" a="1"/>
  <c r="AM1404" i="1" s="1"/>
  <c r="AM1405" i="1" a="1"/>
  <c r="AM1405" i="1" s="1"/>
  <c r="AM1406" i="1" a="1"/>
  <c r="AM1406" i="1" s="1"/>
  <c r="AM1407" i="1" a="1"/>
  <c r="AM1407" i="1" s="1"/>
  <c r="AM1408" i="1" a="1"/>
  <c r="AM1408" i="1" s="1"/>
  <c r="AM1409" i="1" a="1"/>
  <c r="AM1409" i="1" s="1"/>
  <c r="AM1410" i="1" a="1"/>
  <c r="AM1410" i="1" s="1"/>
  <c r="AM1411" i="1" a="1"/>
  <c r="AM1411" i="1" s="1"/>
  <c r="AM1412" i="1" a="1"/>
  <c r="AM1412" i="1" s="1"/>
  <c r="AM1413" i="1" a="1"/>
  <c r="AM1413" i="1" s="1"/>
  <c r="AM1414" i="1" a="1"/>
  <c r="AM1414" i="1" s="1"/>
  <c r="AM1415" i="1" a="1"/>
  <c r="AM1415" i="1" s="1"/>
  <c r="AM1416" i="1" a="1"/>
  <c r="AM1416" i="1" s="1"/>
  <c r="AM1417" i="1" a="1"/>
  <c r="AM1417" i="1" s="1"/>
  <c r="AM1418" i="1" a="1"/>
  <c r="AM1418" i="1" s="1"/>
  <c r="AM1419" i="1" a="1"/>
  <c r="AM1419" i="1" s="1"/>
  <c r="AM1420" i="1" a="1"/>
  <c r="AM1420" i="1" s="1"/>
  <c r="AM1421" i="1" a="1"/>
  <c r="AM1421" i="1" s="1"/>
  <c r="AM1422" i="1" a="1"/>
  <c r="AM1422" i="1" s="1"/>
  <c r="AM1423" i="1" a="1"/>
  <c r="AM1423" i="1" s="1"/>
  <c r="AM1424" i="1" a="1"/>
  <c r="AM1424" i="1" s="1"/>
  <c r="AM1425" i="1" a="1"/>
  <c r="AM1425" i="1" s="1"/>
  <c r="AM1426" i="1" a="1"/>
  <c r="AM1426" i="1" s="1"/>
  <c r="AM1427" i="1" a="1"/>
  <c r="AM1427" i="1" s="1"/>
  <c r="AM1428" i="1" a="1"/>
  <c r="AM1428" i="1" s="1"/>
  <c r="AM1429" i="1" a="1"/>
  <c r="AM1429" i="1" s="1"/>
  <c r="AM1430" i="1" a="1"/>
  <c r="AM1430" i="1" s="1"/>
  <c r="AM1431" i="1" a="1"/>
  <c r="AM1431" i="1" s="1"/>
  <c r="AM1432" i="1" a="1"/>
  <c r="AM1432" i="1" s="1"/>
  <c r="AM1433" i="1" a="1"/>
  <c r="AM1433" i="1" s="1"/>
  <c r="AM1434" i="1" a="1"/>
  <c r="AM1434" i="1" s="1"/>
  <c r="AM1435" i="1" a="1"/>
  <c r="AM1435" i="1" s="1"/>
  <c r="AM1436" i="1" a="1"/>
  <c r="AM1436" i="1" s="1"/>
  <c r="AM1437" i="1" a="1"/>
  <c r="AM1437" i="1" s="1"/>
  <c r="AM1438" i="1" a="1"/>
  <c r="AM1438" i="1" s="1"/>
  <c r="AM1439" i="1" a="1"/>
  <c r="AM1439" i="1" s="1"/>
  <c r="AM1440" i="1" a="1"/>
  <c r="AM1440" i="1" s="1"/>
  <c r="AM1441" i="1" a="1"/>
  <c r="AM1441" i="1" s="1"/>
  <c r="AM1442" i="1" a="1"/>
  <c r="AM1442" i="1" s="1"/>
  <c r="AM1443" i="1" a="1"/>
  <c r="AM1443" i="1" s="1"/>
  <c r="AM1444" i="1" a="1"/>
  <c r="AM1444" i="1" s="1"/>
  <c r="AM1445" i="1" a="1"/>
  <c r="AM1445" i="1" s="1"/>
  <c r="AM1446" i="1" a="1"/>
  <c r="AM1446" i="1" s="1"/>
  <c r="AM1447" i="1" a="1"/>
  <c r="AM1447" i="1" s="1"/>
  <c r="AM1448" i="1" a="1"/>
  <c r="AM1448" i="1" s="1"/>
  <c r="AM1449" i="1" a="1"/>
  <c r="AM1449" i="1" s="1"/>
  <c r="AM1450" i="1" a="1"/>
  <c r="AM1450" i="1" s="1"/>
  <c r="AM1451" i="1" a="1"/>
  <c r="AM1451" i="1" s="1"/>
  <c r="AM1452" i="1" a="1"/>
  <c r="AM1452" i="1" s="1"/>
  <c r="AM1453" i="1" a="1"/>
  <c r="AM1453" i="1" s="1"/>
  <c r="AM1454" i="1" a="1"/>
  <c r="AM1454" i="1" s="1"/>
  <c r="AM1455" i="1" a="1"/>
  <c r="AM1455" i="1" s="1"/>
  <c r="AM1456" i="1" a="1"/>
  <c r="AM1456" i="1" s="1"/>
  <c r="AM1457" i="1" a="1"/>
  <c r="AM1457" i="1" s="1"/>
  <c r="AM1458" i="1" a="1"/>
  <c r="AM1458" i="1" s="1"/>
  <c r="AM1459" i="1" a="1"/>
  <c r="AM1459" i="1" s="1"/>
  <c r="AM1460" i="1" a="1"/>
  <c r="AM1460" i="1" s="1"/>
  <c r="AM1461" i="1" a="1"/>
  <c r="AM1461" i="1" s="1"/>
  <c r="AM1462" i="1" a="1"/>
  <c r="AM1462" i="1" s="1"/>
  <c r="AM1463" i="1" a="1"/>
  <c r="AM1463" i="1" s="1"/>
  <c r="AM1464" i="1" a="1"/>
  <c r="AM1464" i="1" s="1"/>
  <c r="AM1465" i="1" a="1"/>
  <c r="AM1465" i="1" s="1"/>
  <c r="AM1466" i="1" a="1"/>
  <c r="AM1466" i="1" s="1"/>
  <c r="AM1467" i="1" a="1"/>
  <c r="AM1467" i="1" s="1"/>
  <c r="AM1468" i="1" a="1"/>
  <c r="AM1468" i="1" s="1"/>
  <c r="AM1469" i="1" a="1"/>
  <c r="AM1469" i="1" s="1"/>
  <c r="AM1470" i="1" a="1"/>
  <c r="AM1470" i="1" s="1"/>
  <c r="AM1471" i="1" a="1"/>
  <c r="AM1471" i="1" s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L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<sst xmlns="http://schemas.openxmlformats.org/spreadsheetml/2006/main" count="13271" uniqueCount="68">
  <si>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</si>
  <si>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</si>
  <si>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</si>
  <si>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</si>
  <si>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</si>
  <si>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</si>
  <si>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</si>
  <si>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</si>
  <si>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</si>
  <si>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</si>
  <si>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</si>
  <si>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</si>
  <si>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</si>
  <si>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</si>
  <si>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</si>
  <si>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</si>
  <si>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</si>
  <si>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</si>
  <si>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</si>
  <si>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</si>
  <si>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</si>
  <si>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</si>
  <si>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</si>
  <si>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</si>
  <si>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</si>
  <si>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</si>
  <si>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</si>
  <si>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</si>
  <si>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</si>
  <si>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</si>
  <si>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</si>
  <si>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</si>
  <si>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</si>
  <si>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</si>
  <si>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</si>
  <si>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</si>
  <si>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</si>
  <si>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</si>
  <si>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</si>
  <si>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</si>
  <si>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</si>
  <si>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</si>
  <si>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</si>
  <si>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</si>
  <si>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</si>
  <si>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</si>
  <si>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</si>
  <si>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</si>
  <si>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</si>
  <si>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</si>
  <si>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</si>
  <si>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</si>
  <si>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</si>
  <si>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</si>
  <si>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</si>
  <si>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</si>
  <si>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</si>
  <si>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</si>
  <si>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</si>
  <si>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</si>
  <si>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</si>
  <si>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</si>
  <si>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EmployeeStatus</t>
  </si>
  <si>
    <t>JoiningYear</t>
  </si>
  <si>
    <t>ExitFlag</t>
  </si>
  <si>
    <t>ExitYear</t>
  </si>
  <si>
    <t>AgeGroup</t>
  </si>
  <si>
    <t>SalaryBand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</si>
</sst>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AA0B36-2B63-4E7B-9E4A-7C813FFD43EB}" name="Table1" displayName="Table1" ref="A1:AO1471" totalsRowShown="0">
  <autoFilter ref="A1:AO1471" xr:uid="{5AAA0B36-2B63-4E7B-9E4A-7C813FFD43EB}">
    <filterColumn colId="28">
      <filters>
        <filter val="0"/>
      </filters>
    </filterColumn>
  </autoFilter>
  <tableColumns count="41">
    <tableColumn id="1" xr3:uid="{CBE81133-E02B-42D8-BFD9-DFDBC9E01E8A}" name="Age"/>
    <tableColumn id="2" xr3:uid="{D48B9B8D-8781-4C60-A5F5-6FFB9ECA273F}" name="Attrition"/>
    <tableColumn id="3" xr3:uid="{930BC4E9-43F0-4F17-B170-2F7301AEB3E7}" name="BusinessTravel"/>
    <tableColumn id="4" xr3:uid="{E3973155-DD0B-4034-A1DB-E7879EFEAB0F}" name="DailyRate"/>
    <tableColumn id="5" xr3:uid="{D314A84C-B2C4-470A-B40B-69CDD5CAED09}" name="Department"/>
    <tableColumn id="6" xr3:uid="{7742FBE9-D879-46C6-AF34-8FBC816C60DD}" name="DistanceFromHome"/>
    <tableColumn id="7" xr3:uid="{C106436D-EE83-481E-9CC6-BA2C959DA9D2}" name="Education"/>
    <tableColumn id="8" xr3:uid="{03480DFA-3E90-478F-9EE3-4FE11267EE76}" name="EducationField"/>
    <tableColumn id="9" xr3:uid="{AE8D4E93-DAF9-43CD-93DE-31963347F8FB}" name="EmployeeCount"/>
    <tableColumn id="10" xr3:uid="{AA8DE8BB-17A5-4136-BB8E-5A72B618550B}" name="EmployeeNumber"/>
    <tableColumn id="11" xr3:uid="{C545CC5D-C93A-483A-9FB7-DD699BBE1726}" name="EnvironmentSatisfaction"/>
    <tableColumn id="12" xr3:uid="{A1F0A6D5-3302-4854-B11B-FABEA79E4BD8}" name="Gender"/>
    <tableColumn id="13" xr3:uid="{E2E5688B-47EA-4B1F-A697-EE40D0115186}" name="HourlyRate"/>
    <tableColumn id="14" xr3:uid="{B31E2AFE-9278-43EF-A5E0-C560E3B98B80}" name="JobInvolvement"/>
    <tableColumn id="15" xr3:uid="{2A29A341-C42B-40AE-94B4-7FC2DCD15C31}" name="JobLevel"/>
    <tableColumn id="16" xr3:uid="{B96D2386-8B5E-4DA6-A6A3-43F8EAAC176A}" name="JobRole"/>
    <tableColumn id="17" xr3:uid="{C57E5912-8093-4020-B90B-6BFEA8941A54}" name="JobSatisfaction"/>
    <tableColumn id="18" xr3:uid="{CA353445-0438-42B6-82A4-CABA0678C291}" name="MaritalStatus"/>
    <tableColumn id="19" xr3:uid="{C6D76083-6175-4AF6-879C-D25233FE527D}" name="MonthlyIncome"/>
    <tableColumn id="20" xr3:uid="{526FC528-A3C4-4881-BA09-FCD476073727}" name="MonthlyRate"/>
    <tableColumn id="21" xr3:uid="{03E4195B-B360-49BB-83A9-C912C0F214E1}" name="NumCompaniesWorked"/>
    <tableColumn id="22" xr3:uid="{340434B1-E245-4AB0-B563-FB291F25F235}" name="Over18"/>
    <tableColumn id="23" xr3:uid="{00B71B5E-8A56-4C53-9D7C-F755D9F5107A}" name="OverTime"/>
    <tableColumn id="24" xr3:uid="{0BBF70B4-9432-421B-ADE9-8F72A9E02771}" name="PercentSalaryHike"/>
    <tableColumn id="25" xr3:uid="{D9C829B6-E354-4287-B92A-255EE58BE8BF}" name="PerformanceRating"/>
    <tableColumn id="26" xr3:uid="{BB4E1901-8E90-4CD8-9562-404D07EB6A6E}" name="RelationshipSatisfaction"/>
    <tableColumn id="27" xr3:uid="{A4399AEC-A795-4903-BE28-6EF1EFAD755B}" name="StandardHours"/>
    <tableColumn id="28" xr3:uid="{A1F433FC-A929-4995-BC84-A07CDAF01201}" name="StockOptionLevel"/>
    <tableColumn id="29" xr3:uid="{ACC39D43-0724-45B9-89C2-F56A5A8ACA5F}" name="TotalWorkingYears"/>
    <tableColumn id="30" xr3:uid="{2CCFB4AD-0557-4473-A5D9-7F9FEA174F95}" name="TrainingTimesLastYear"/>
    <tableColumn id="31" xr3:uid="{412135D5-9F3F-42AF-8D8F-A327451CB81D}" name="WorkLifeBalance"/>
    <tableColumn id="32" xr3:uid="{B9AECC6B-15F3-4859-8629-1960170BDC98}" name="YearsAtCompany"/>
    <tableColumn id="33" xr3:uid="{92947581-4D14-4B51-A196-62025F4CF13A}" name="YearsInCurrentRole"/>
    <tableColumn id="34" xr3:uid="{D58EE41F-E4B9-4B1B-999A-0AE26C4B88F6}" name="YearsSinceLastPromotion"/>
    <tableColumn id="35" xr3:uid="{586E620E-99DD-48CB-B521-5923BE8BFEC2}" name="YearsWithCurrManager"/>
    <tableColumn id="36" xr3:uid="{45109D56-DC10-4C0C-8E49-D984CBB00A5F}" name="EmployeeStatus">
      <calculatedColumnFormula>IF(B2="Yes", "Resigned","Active")</calculatedColumnFormula>
    </tableColumn>
    <tableColumn id="37" xr3:uid="{B71D2149-3036-4924-9125-71DA596E3EBD}" name="JoiningYear">
      <calculatedColumnFormula>YEAR(TODAY()) - AC2</calculatedColumnFormula>
    </tableColumn>
    <tableColumn id="38" xr3:uid="{D1500CE9-6A3E-498C-9479-C535527AE6FA}" name="ExitFlag">
      <calculatedColumnFormula>IF(B2="Yes",1,0)</calculatedColumnFormula>
    </tableColumn>
    <tableColumn id="39" xr3:uid="{445F45BE-A6A7-4727-A3F7-6CF594FB3857}" name="ExitYear">
      <calculatedColumnFormula array="1">IF(B2="Yes",YEAR(TODAY()),BLANK())</calculatedColumnFormula>
    </tableColumn>
    <tableColumn id="40" xr3:uid="{D754212B-3EE3-449B-80BB-D474A5B8B3F7}" name="AgeGroup">
      <calculatedColumnFormula array="1" xml:space="preserve"> _xlfn.IFS(A2&lt;25,"&lt;25",
A2&lt;=35,"25-35",
A2&lt;=45,"36-45",
TRUE,"45+"
)</calculatedColumnFormula>
    </tableColumn>
    <tableColumn id="41" xr3:uid="{EEAD1BC9-B2E2-4356-8CDC-5B13B69F0353}" name="SalaryBand">
      <calculatedColumnFormula array="1">_xlfn.IFS(S2&lt;5000,"Low",
S2&lt;=15000,"Medium",
TRUE,"High")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DB17C-190D-4C12-A938-14CCC5BE9646}">
  <dimension ref="A1:AO1471"/>
  <sheetViews>
    <sheetView tabSelected="1" topLeftCell="Q1" zoomScale="64" workbookViewId="0">
      <selection activeCell="Q25" sqref="Q25:Q1313"/>
    </sheetView>
  </sheetViews>
  <sheetFormatPr defaultRowHeight="14.4" x14ac:dyDescent="0.3"/>
  <cols>
    <col min="2" max="2" width="10.109375" customWidth="1"/>
    <col min="3" max="3" width="15.77734375" customWidth="1"/>
    <col min="4" max="4" width="11.44140625" customWidth="1"/>
    <col min="5" max="5" width="21.88671875" bestFit="1" customWidth="1"/>
    <col min="6" max="6" width="20.109375" customWidth="1"/>
    <col min="7" max="7" width="11.33203125" customWidth="1"/>
    <col min="8" max="8" width="15.6640625" bestFit="1" customWidth="1"/>
    <col min="9" max="9" width="16.33203125" customWidth="1"/>
    <col min="10" max="10" width="18.44140625" customWidth="1"/>
    <col min="11" max="11" width="24" customWidth="1"/>
    <col min="12" max="12" width="9.21875" customWidth="1"/>
    <col min="13" max="13" width="12.6640625" customWidth="1"/>
    <col min="14" max="14" width="16.44140625" customWidth="1"/>
    <col min="15" max="15" width="10.21875" customWidth="1"/>
    <col min="16" max="16" width="22.88671875" bestFit="1" customWidth="1"/>
    <col min="17" max="17" width="15.77734375" customWidth="1"/>
    <col min="18" max="18" width="14.5546875" customWidth="1"/>
    <col min="19" max="19" width="16.33203125" customWidth="1"/>
    <col min="20" max="20" width="14.109375" customWidth="1"/>
    <col min="21" max="21" width="23.21875" customWidth="1"/>
    <col min="22" max="22" width="9.21875" customWidth="1"/>
    <col min="23" max="23" width="11.44140625" customWidth="1"/>
    <col min="24" max="24" width="18.77734375" customWidth="1"/>
    <col min="25" max="25" width="19.44140625" customWidth="1"/>
    <col min="26" max="26" width="23.6640625" customWidth="1"/>
    <col min="27" max="27" width="15.6640625" customWidth="1"/>
    <col min="28" max="28" width="17.88671875" customWidth="1"/>
    <col min="29" max="29" width="19.21875" customWidth="1"/>
    <col min="30" max="30" width="22.44140625" customWidth="1"/>
    <col min="31" max="32" width="17.5546875" customWidth="1"/>
    <col min="33" max="33" width="19.21875" customWidth="1"/>
    <col min="34" max="34" width="24.44140625" customWidth="1"/>
    <col min="35" max="35" width="22.88671875" customWidth="1"/>
    <col min="36" max="36" width="16.88671875" customWidth="1"/>
    <col min="37" max="37" width="12.6640625" customWidth="1"/>
    <col min="38" max="38" width="9.88671875" customWidth="1"/>
    <col min="39" max="39" width="10.109375" customWidth="1"/>
    <col min="40" max="40" width="11.44140625" customWidth="1"/>
    <col min="41" max="41" width="12.6640625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62</v>
      </c>
      <c r="AK1" t="s">
        <v>63</v>
      </c>
      <c r="AL1" t="s">
        <v>64</v>
      </c>
      <c r="AM1" t="s">
        <v>65</v>
      </c>
      <c r="AN1" t="s">
        <v>66</v>
      </c>
      <c r="AO1" t="s">
        <v>67</v>
      </c>
    </row>
    <row r="2" spans="1:41" hidden="1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 t="str">
        <f>IF(B2="Yes", "Resigned","Active")</f>
        <v>Resigned</v>
      </c>
      <c r="AK2">
        <f ca="1">YEAR(TODAY()) - AC2</f>
        <v>2017</v>
      </c>
      <c r="AL2">
        <f>IF(B2="Yes",1,0)</f>
        <v>1</v>
      </c>
      <c r="AM2" cm="1">
        <f t="array" aca="1" ref="AM2" ca="1">IF(B2="Yes",YEAR(TODAY()),BLANK())</f>
        <v>2025</v>
      </c>
      <c r="AN2" t="str" cm="1">
        <f t="array" ref="AN2" xml:space="preserve"> _xlfn.IFS(A2&lt;25,"&lt;25",
A2&lt;=35,"25-35",
A2&lt;=45,"36-45",
TRUE,"45+"
)</f>
        <v>36-45</v>
      </c>
      <c r="AO2" t="str" cm="1">
        <f t="array" ref="AO2">_xlfn.IFS(S2&lt;5000,"Low",
S2&lt;=15000,"Medium",
TRUE,"High")</f>
        <v>Medium</v>
      </c>
    </row>
    <row r="3" spans="1:41" hidden="1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 t="str">
        <f t="shared" ref="AJ3:AJ66" si="0">IF(B3="Yes", "Resigned","Active")</f>
        <v>Active</v>
      </c>
      <c r="AK3">
        <f t="shared" ref="AK3:AK66" ca="1" si="1">YEAR(TODAY()) - AC3</f>
        <v>2015</v>
      </c>
      <c r="AL3">
        <f t="shared" ref="AL3:AL66" si="2">IF(B3="Yes",1,0)</f>
        <v>0</v>
      </c>
      <c r="AM3" t="e" cm="1">
        <f t="array" aca="1" ref="AM3" ca="1">IF(B3="Yes",YEAR(TODAY()),BLANK())</f>
        <v>#NAME?</v>
      </c>
      <c r="AN3" t="str" cm="1">
        <f t="array" ref="AN3" xml:space="preserve"> _xlfn.IFS(A3&lt;25,"&lt;25",
A3&lt;=35,"25-35",
A3&lt;=45,"36-45",
TRUE,"45+"
)</f>
        <v>45+</v>
      </c>
      <c r="AO3" t="str" cm="1">
        <f t="array" ref="AO3">_xlfn.IFS(S3&lt;5000,"Low",
S3&lt;=15000,"Medium",
TRUE,"High")</f>
        <v>Medium</v>
      </c>
    </row>
    <row r="4" spans="1:41" hidden="1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 t="str">
        <f t="shared" si="0"/>
        <v>Resigned</v>
      </c>
      <c r="AK4">
        <f t="shared" ca="1" si="1"/>
        <v>2018</v>
      </c>
      <c r="AL4">
        <f t="shared" si="2"/>
        <v>1</v>
      </c>
      <c r="AM4" cm="1">
        <f t="array" aca="1" ref="AM4" ca="1">IF(B4="Yes",YEAR(TODAY()),BLANK())</f>
        <v>2025</v>
      </c>
      <c r="AN4" t="str" cm="1">
        <f t="array" ref="AN4" xml:space="preserve"> _xlfn.IFS(A4&lt;25,"&lt;25",
A4&lt;=35,"25-35",
A4&lt;=45,"36-45",
TRUE,"45+"
)</f>
        <v>36-45</v>
      </c>
      <c r="AO4" t="str" cm="1">
        <f t="array" ref="AO4">_xlfn.IFS(S4&lt;5000,"Low",
S4&lt;=15000,"Medium",
TRUE,"High")</f>
        <v>Low</v>
      </c>
    </row>
    <row r="5" spans="1:41" hidden="1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 t="str">
        <f t="shared" si="0"/>
        <v>Active</v>
      </c>
      <c r="AK5">
        <f t="shared" ca="1" si="1"/>
        <v>2017</v>
      </c>
      <c r="AL5">
        <f t="shared" si="2"/>
        <v>0</v>
      </c>
      <c r="AM5" t="e" cm="1">
        <f t="array" aca="1" ref="AM5" ca="1">IF(B5="Yes",YEAR(TODAY()),BLANK())</f>
        <v>#NAME?</v>
      </c>
      <c r="AN5" t="str" cm="1">
        <f t="array" ref="AN5" xml:space="preserve"> _xlfn.IFS(A5&lt;25,"&lt;25",
A5&lt;=35,"25-35",
A5&lt;=45,"36-45",
TRUE,"45+"
)</f>
        <v>25-35</v>
      </c>
      <c r="AO5" t="str" cm="1">
        <f t="array" ref="AO5">_xlfn.IFS(S5&lt;5000,"Low",
S5&lt;=15000,"Medium",
TRUE,"High")</f>
        <v>Low</v>
      </c>
    </row>
    <row r="6" spans="1:41" hidden="1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 t="str">
        <f t="shared" si="0"/>
        <v>Active</v>
      </c>
      <c r="AK6">
        <f t="shared" ca="1" si="1"/>
        <v>2019</v>
      </c>
      <c r="AL6">
        <f t="shared" si="2"/>
        <v>0</v>
      </c>
      <c r="AM6" t="e" cm="1">
        <f t="array" aca="1" ref="AM6" ca="1">IF(B6="Yes",YEAR(TODAY()),BLANK())</f>
        <v>#NAME?</v>
      </c>
      <c r="AN6" t="str" cm="1">
        <f t="array" ref="AN6" xml:space="preserve"> _xlfn.IFS(A6&lt;25,"&lt;25",
A6&lt;=35,"25-35",
A6&lt;=45,"36-45",
TRUE,"45+"
)</f>
        <v>25-35</v>
      </c>
      <c r="AO6" t="str" cm="1">
        <f t="array" ref="AO6">_xlfn.IFS(S6&lt;5000,"Low",
S6&lt;=15000,"Medium",
TRUE,"High")</f>
        <v>Low</v>
      </c>
    </row>
    <row r="7" spans="1:41" hidden="1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 t="str">
        <f t="shared" si="0"/>
        <v>Active</v>
      </c>
      <c r="AK7">
        <f t="shared" ca="1" si="1"/>
        <v>2017</v>
      </c>
      <c r="AL7">
        <f t="shared" si="2"/>
        <v>0</v>
      </c>
      <c r="AM7" t="e" cm="1">
        <f t="array" aca="1" ref="AM7" ca="1">IF(B7="Yes",YEAR(TODAY()),BLANK())</f>
        <v>#NAME?</v>
      </c>
      <c r="AN7" t="str" cm="1">
        <f t="array" ref="AN7" xml:space="preserve"> _xlfn.IFS(A7&lt;25,"&lt;25",
A7&lt;=35,"25-35",
A7&lt;=45,"36-45",
TRUE,"45+"
)</f>
        <v>25-35</v>
      </c>
      <c r="AO7" t="str" cm="1">
        <f t="array" ref="AO7">_xlfn.IFS(S7&lt;5000,"Low",
S7&lt;=15000,"Medium",
TRUE,"High")</f>
        <v>Low</v>
      </c>
    </row>
    <row r="8" spans="1:41" hidden="1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 t="str">
        <f t="shared" si="0"/>
        <v>Active</v>
      </c>
      <c r="AK8">
        <f t="shared" ca="1" si="1"/>
        <v>2013</v>
      </c>
      <c r="AL8">
        <f t="shared" si="2"/>
        <v>0</v>
      </c>
      <c r="AM8" t="e" cm="1">
        <f t="array" aca="1" ref="AM8" ca="1">IF(B8="Yes",YEAR(TODAY()),BLANK())</f>
        <v>#NAME?</v>
      </c>
      <c r="AN8" t="str" cm="1">
        <f t="array" ref="AN8" xml:space="preserve"> _xlfn.IFS(A8&lt;25,"&lt;25",
A8&lt;=35,"25-35",
A8&lt;=45,"36-45",
TRUE,"45+"
)</f>
        <v>45+</v>
      </c>
      <c r="AO8" t="str" cm="1">
        <f t="array" ref="AO8">_xlfn.IFS(S8&lt;5000,"Low",
S8&lt;=15000,"Medium",
TRUE,"High")</f>
        <v>Low</v>
      </c>
    </row>
    <row r="9" spans="1:41" hidden="1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 t="str">
        <f t="shared" si="0"/>
        <v>Active</v>
      </c>
      <c r="AK9">
        <f t="shared" ca="1" si="1"/>
        <v>2024</v>
      </c>
      <c r="AL9">
        <f t="shared" si="2"/>
        <v>0</v>
      </c>
      <c r="AM9" t="e" cm="1">
        <f t="array" aca="1" ref="AM9" ca="1">IF(B9="Yes",YEAR(TODAY()),BLANK())</f>
        <v>#NAME?</v>
      </c>
      <c r="AN9" t="str" cm="1">
        <f t="array" ref="AN9" xml:space="preserve"> _xlfn.IFS(A9&lt;25,"&lt;25",
A9&lt;=35,"25-35",
A9&lt;=45,"36-45",
TRUE,"45+"
)</f>
        <v>25-35</v>
      </c>
      <c r="AO9" t="str" cm="1">
        <f t="array" ref="AO9">_xlfn.IFS(S9&lt;5000,"Low",
S9&lt;=15000,"Medium",
TRUE,"High")</f>
        <v>Low</v>
      </c>
    </row>
    <row r="10" spans="1:41" hidden="1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 t="str">
        <f t="shared" si="0"/>
        <v>Active</v>
      </c>
      <c r="AK10">
        <f t="shared" ca="1" si="1"/>
        <v>2015</v>
      </c>
      <c r="AL10">
        <f t="shared" si="2"/>
        <v>0</v>
      </c>
      <c r="AM10" t="e" cm="1">
        <f t="array" aca="1" ref="AM10" ca="1">IF(B10="Yes",YEAR(TODAY()),BLANK())</f>
        <v>#NAME?</v>
      </c>
      <c r="AN10" t="str" cm="1">
        <f t="array" ref="AN10" xml:space="preserve"> _xlfn.IFS(A10&lt;25,"&lt;25",
A10&lt;=35,"25-35",
A10&lt;=45,"36-45",
TRUE,"45+"
)</f>
        <v>36-45</v>
      </c>
      <c r="AO10" t="str" cm="1">
        <f t="array" ref="AO10">_xlfn.IFS(S10&lt;5000,"Low",
S10&lt;=15000,"Medium",
TRUE,"High")</f>
        <v>Medium</v>
      </c>
    </row>
    <row r="11" spans="1:41" hidden="1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 t="str">
        <f t="shared" si="0"/>
        <v>Active</v>
      </c>
      <c r="AK11">
        <f t="shared" ca="1" si="1"/>
        <v>2008</v>
      </c>
      <c r="AL11">
        <f t="shared" si="2"/>
        <v>0</v>
      </c>
      <c r="AM11" t="e" cm="1">
        <f t="array" aca="1" ref="AM11" ca="1">IF(B11="Yes",YEAR(TODAY()),BLANK())</f>
        <v>#NAME?</v>
      </c>
      <c r="AN11" t="str" cm="1">
        <f t="array" ref="AN11" xml:space="preserve"> _xlfn.IFS(A11&lt;25,"&lt;25",
A11&lt;=35,"25-35",
A11&lt;=45,"36-45",
TRUE,"45+"
)</f>
        <v>36-45</v>
      </c>
      <c r="AO11" t="str" cm="1">
        <f t="array" ref="AO11">_xlfn.IFS(S11&lt;5000,"Low",
S11&lt;=15000,"Medium",
TRUE,"High")</f>
        <v>Medium</v>
      </c>
    </row>
    <row r="12" spans="1:41" hidden="1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 t="str">
        <f t="shared" si="0"/>
        <v>Active</v>
      </c>
      <c r="AK12">
        <f t="shared" ca="1" si="1"/>
        <v>2019</v>
      </c>
      <c r="AL12">
        <f t="shared" si="2"/>
        <v>0</v>
      </c>
      <c r="AM12" t="e" cm="1">
        <f t="array" aca="1" ref="AM12" ca="1">IF(B12="Yes",YEAR(TODAY()),BLANK())</f>
        <v>#NAME?</v>
      </c>
      <c r="AN12" t="str" cm="1">
        <f t="array" ref="AN12" xml:space="preserve"> _xlfn.IFS(A12&lt;25,"&lt;25",
A12&lt;=35,"25-35",
A12&lt;=45,"36-45",
TRUE,"45+"
)</f>
        <v>25-35</v>
      </c>
      <c r="AO12" t="str" cm="1">
        <f t="array" ref="AO12">_xlfn.IFS(S12&lt;5000,"Low",
S12&lt;=15000,"Medium",
TRUE,"High")</f>
        <v>Low</v>
      </c>
    </row>
    <row r="13" spans="1:41" hidden="1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 t="str">
        <f t="shared" si="0"/>
        <v>Active</v>
      </c>
      <c r="AK13">
        <f t="shared" ca="1" si="1"/>
        <v>2015</v>
      </c>
      <c r="AL13">
        <f t="shared" si="2"/>
        <v>0</v>
      </c>
      <c r="AM13" t="e" cm="1">
        <f t="array" aca="1" ref="AM13" ca="1">IF(B13="Yes",YEAR(TODAY()),BLANK())</f>
        <v>#NAME?</v>
      </c>
      <c r="AN13" t="str" cm="1">
        <f t="array" ref="AN13" xml:space="preserve"> _xlfn.IFS(A13&lt;25,"&lt;25",
A13&lt;=35,"25-35",
A13&lt;=45,"36-45",
TRUE,"45+"
)</f>
        <v>25-35</v>
      </c>
      <c r="AO13" t="str" cm="1">
        <f t="array" ref="AO13">_xlfn.IFS(S13&lt;5000,"Low",
S13&lt;=15000,"Medium",
TRUE,"High")</f>
        <v>Low</v>
      </c>
    </row>
    <row r="14" spans="1:41" hidden="1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 t="str">
        <f t="shared" si="0"/>
        <v>Active</v>
      </c>
      <c r="AK14">
        <f t="shared" ca="1" si="1"/>
        <v>2020</v>
      </c>
      <c r="AL14">
        <f t="shared" si="2"/>
        <v>0</v>
      </c>
      <c r="AM14" t="e" cm="1">
        <f t="array" aca="1" ref="AM14" ca="1">IF(B14="Yes",YEAR(TODAY()),BLANK())</f>
        <v>#NAME?</v>
      </c>
      <c r="AN14" t="str" cm="1">
        <f t="array" ref="AN14" xml:space="preserve"> _xlfn.IFS(A14&lt;25,"&lt;25",
A14&lt;=35,"25-35",
A14&lt;=45,"36-45",
TRUE,"45+"
)</f>
        <v>25-35</v>
      </c>
      <c r="AO14" t="str" cm="1">
        <f t="array" ref="AO14">_xlfn.IFS(S14&lt;5000,"Low",
S14&lt;=15000,"Medium",
TRUE,"High")</f>
        <v>Low</v>
      </c>
    </row>
    <row r="15" spans="1:41" hidden="1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 t="str">
        <f t="shared" si="0"/>
        <v>Active</v>
      </c>
      <c r="AK15">
        <f t="shared" ca="1" si="1"/>
        <v>2022</v>
      </c>
      <c r="AL15">
        <f t="shared" si="2"/>
        <v>0</v>
      </c>
      <c r="AM15" t="e" cm="1">
        <f t="array" aca="1" ref="AM15" ca="1">IF(B15="Yes",YEAR(TODAY()),BLANK())</f>
        <v>#NAME?</v>
      </c>
      <c r="AN15" t="str" cm="1">
        <f t="array" ref="AN15" xml:space="preserve"> _xlfn.IFS(A15&lt;25,"&lt;25",
A15&lt;=35,"25-35",
A15&lt;=45,"36-45",
TRUE,"45+"
)</f>
        <v>25-35</v>
      </c>
      <c r="AO15" t="str" cm="1">
        <f t="array" ref="AO15">_xlfn.IFS(S15&lt;5000,"Low",
S15&lt;=15000,"Medium",
TRUE,"High")</f>
        <v>Low</v>
      </c>
    </row>
    <row r="16" spans="1:41" hidden="1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 t="str">
        <f t="shared" si="0"/>
        <v>Resigned</v>
      </c>
      <c r="AK16">
        <f t="shared" ca="1" si="1"/>
        <v>2019</v>
      </c>
      <c r="AL16">
        <f t="shared" si="2"/>
        <v>1</v>
      </c>
      <c r="AM16" cm="1">
        <f t="array" aca="1" ref="AM16" ca="1">IF(B16="Yes",YEAR(TODAY()),BLANK())</f>
        <v>2025</v>
      </c>
      <c r="AN16" t="str" cm="1">
        <f t="array" ref="AN16" xml:space="preserve"> _xlfn.IFS(A16&lt;25,"&lt;25",
A16&lt;=35,"25-35",
A16&lt;=45,"36-45",
TRUE,"45+"
)</f>
        <v>25-35</v>
      </c>
      <c r="AO16" t="str" cm="1">
        <f t="array" ref="AO16">_xlfn.IFS(S16&lt;5000,"Low",
S16&lt;=15000,"Medium",
TRUE,"High")</f>
        <v>Low</v>
      </c>
    </row>
    <row r="17" spans="1:41" hidden="1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 t="str">
        <f t="shared" si="0"/>
        <v>Active</v>
      </c>
      <c r="AK17">
        <f t="shared" ca="1" si="1"/>
        <v>2015</v>
      </c>
      <c r="AL17">
        <f t="shared" si="2"/>
        <v>0</v>
      </c>
      <c r="AM17" t="e" cm="1">
        <f t="array" aca="1" ref="AM17" ca="1">IF(B17="Yes",YEAR(TODAY()),BLANK())</f>
        <v>#NAME?</v>
      </c>
      <c r="AN17" t="str" cm="1">
        <f t="array" ref="AN17" xml:space="preserve"> _xlfn.IFS(A17&lt;25,"&lt;25",
A17&lt;=35,"25-35",
A17&lt;=45,"36-45",
TRUE,"45+"
)</f>
        <v>25-35</v>
      </c>
      <c r="AO17" t="str" cm="1">
        <f t="array" ref="AO17">_xlfn.IFS(S17&lt;5000,"Low",
S17&lt;=15000,"Medium",
TRUE,"High")</f>
        <v>Medium</v>
      </c>
    </row>
    <row r="18" spans="1:41" hidden="1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 t="str">
        <f t="shared" si="0"/>
        <v>Active</v>
      </c>
      <c r="AK18">
        <f t="shared" ca="1" si="1"/>
        <v>2018</v>
      </c>
      <c r="AL18">
        <f t="shared" si="2"/>
        <v>0</v>
      </c>
      <c r="AM18" t="e" cm="1">
        <f t="array" aca="1" ref="AM18" ca="1">IF(B18="Yes",YEAR(TODAY()),BLANK())</f>
        <v>#NAME?</v>
      </c>
      <c r="AN18" t="str" cm="1">
        <f t="array" ref="AN18" xml:space="preserve"> _xlfn.IFS(A18&lt;25,"&lt;25",
A18&lt;=35,"25-35",
A18&lt;=45,"36-45",
TRUE,"45+"
)</f>
        <v>25-35</v>
      </c>
      <c r="AO18" t="str" cm="1">
        <f t="array" ref="AO18">_xlfn.IFS(S18&lt;5000,"Low",
S18&lt;=15000,"Medium",
TRUE,"High")</f>
        <v>Low</v>
      </c>
    </row>
    <row r="19" spans="1:41" hidden="1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 t="str">
        <f t="shared" si="0"/>
        <v>Active</v>
      </c>
      <c r="AK19">
        <f t="shared" ca="1" si="1"/>
        <v>2024</v>
      </c>
      <c r="AL19">
        <f t="shared" si="2"/>
        <v>0</v>
      </c>
      <c r="AM19" t="e" cm="1">
        <f t="array" aca="1" ref="AM19" ca="1">IF(B19="Yes",YEAR(TODAY()),BLANK())</f>
        <v>#NAME?</v>
      </c>
      <c r="AN19" t="str" cm="1">
        <f t="array" ref="AN19" xml:space="preserve"> _xlfn.IFS(A19&lt;25,"&lt;25",
A19&lt;=35,"25-35",
A19&lt;=45,"36-45",
TRUE,"45+"
)</f>
        <v>&lt;25</v>
      </c>
      <c r="AO19" t="str" cm="1">
        <f t="array" ref="AO19">_xlfn.IFS(S19&lt;5000,"Low",
S19&lt;=15000,"Medium",
TRUE,"High")</f>
        <v>Low</v>
      </c>
    </row>
    <row r="20" spans="1:41" hidden="1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 t="str">
        <f t="shared" si="0"/>
        <v>Active</v>
      </c>
      <c r="AK20">
        <f t="shared" ca="1" si="1"/>
        <v>1994</v>
      </c>
      <c r="AL20">
        <f t="shared" si="2"/>
        <v>0</v>
      </c>
      <c r="AM20" t="e" cm="1">
        <f t="array" aca="1" ref="AM20" ca="1">IF(B20="Yes",YEAR(TODAY()),BLANK())</f>
        <v>#NAME?</v>
      </c>
      <c r="AN20" t="str" cm="1">
        <f t="array" ref="AN20" xml:space="preserve"> _xlfn.IFS(A20&lt;25,"&lt;25",
A20&lt;=35,"25-35",
A20&lt;=45,"36-45",
TRUE,"45+"
)</f>
        <v>45+</v>
      </c>
      <c r="AO20" t="str" cm="1">
        <f t="array" ref="AO20">_xlfn.IFS(S20&lt;5000,"Low",
S20&lt;=15000,"Medium",
TRUE,"High")</f>
        <v>High</v>
      </c>
    </row>
    <row r="21" spans="1:41" hidden="1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 t="str">
        <f t="shared" si="0"/>
        <v>Active</v>
      </c>
      <c r="AK21">
        <f t="shared" ca="1" si="1"/>
        <v>2019</v>
      </c>
      <c r="AL21">
        <f t="shared" si="2"/>
        <v>0</v>
      </c>
      <c r="AM21" t="e" cm="1">
        <f t="array" aca="1" ref="AM21" ca="1">IF(B21="Yes",YEAR(TODAY()),BLANK())</f>
        <v>#NAME?</v>
      </c>
      <c r="AN21" t="str" cm="1">
        <f t="array" ref="AN21" xml:space="preserve"> _xlfn.IFS(A21&lt;25,"&lt;25",
A21&lt;=35,"25-35",
A21&lt;=45,"36-45",
TRUE,"45+"
)</f>
        <v>36-45</v>
      </c>
      <c r="AO21" t="str" cm="1">
        <f t="array" ref="AO21">_xlfn.IFS(S21&lt;5000,"Low",
S21&lt;=15000,"Medium",
TRUE,"High")</f>
        <v>Low</v>
      </c>
    </row>
    <row r="22" spans="1:41" hidden="1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 t="str">
        <f t="shared" si="0"/>
        <v>Active</v>
      </c>
      <c r="AK22">
        <f t="shared" ca="1" si="1"/>
        <v>2020</v>
      </c>
      <c r="AL22">
        <f t="shared" si="2"/>
        <v>0</v>
      </c>
      <c r="AM22" t="e" cm="1">
        <f t="array" aca="1" ref="AM22" ca="1">IF(B22="Yes",YEAR(TODAY()),BLANK())</f>
        <v>#NAME?</v>
      </c>
      <c r="AN22" t="str" cm="1">
        <f t="array" ref="AN22" xml:space="preserve"> _xlfn.IFS(A22&lt;25,"&lt;25",
A22&lt;=35,"25-35",
A22&lt;=45,"36-45",
TRUE,"45+"
)</f>
        <v>&lt;25</v>
      </c>
      <c r="AO22" t="str" cm="1">
        <f t="array" ref="AO22">_xlfn.IFS(S22&lt;5000,"Low",
S22&lt;=15000,"Medium",
TRUE,"High")</f>
        <v>Low</v>
      </c>
    </row>
    <row r="23" spans="1:41" hidden="1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 t="str">
        <f t="shared" si="0"/>
        <v>Resigned</v>
      </c>
      <c r="AK23">
        <f t="shared" ca="1" si="1"/>
        <v>2015</v>
      </c>
      <c r="AL23">
        <f t="shared" si="2"/>
        <v>1</v>
      </c>
      <c r="AM23" cm="1">
        <f t="array" aca="1" ref="AM23" ca="1">IF(B23="Yes",YEAR(TODAY()),BLANK())</f>
        <v>2025</v>
      </c>
      <c r="AN23" t="str" cm="1">
        <f t="array" ref="AN23" xml:space="preserve"> _xlfn.IFS(A23&lt;25,"&lt;25",
A23&lt;=35,"25-35",
A23&lt;=45,"36-45",
TRUE,"45+"
)</f>
        <v>36-45</v>
      </c>
      <c r="AO23" t="str" cm="1">
        <f t="array" ref="AO23">_xlfn.IFS(S23&lt;5000,"Low",
S23&lt;=15000,"Medium",
TRUE,"High")</f>
        <v>Low</v>
      </c>
    </row>
    <row r="24" spans="1:41" hidden="1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 t="str">
        <f t="shared" si="0"/>
        <v>Active</v>
      </c>
      <c r="AK24">
        <f t="shared" ca="1" si="1"/>
        <v>2012</v>
      </c>
      <c r="AL24">
        <f t="shared" si="2"/>
        <v>0</v>
      </c>
      <c r="AM24" t="e" cm="1">
        <f t="array" aca="1" ref="AM24" ca="1">IF(B24="Yes",YEAR(TODAY()),BLANK())</f>
        <v>#NAME?</v>
      </c>
      <c r="AN24" t="str" cm="1">
        <f t="array" ref="AN24" xml:space="preserve"> _xlfn.IFS(A24&lt;25,"&lt;25",
A24&lt;=35,"25-35",
A24&lt;=45,"36-45",
TRUE,"45+"
)</f>
        <v>25-35</v>
      </c>
      <c r="AO24" t="str" cm="1">
        <f t="array" ref="AO24">_xlfn.IFS(S24&lt;5000,"Low",
S24&lt;=15000,"Medium",
TRUE,"High")</f>
        <v>Medium</v>
      </c>
    </row>
    <row r="25" spans="1:41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 t="str">
        <f t="shared" si="0"/>
        <v>Active</v>
      </c>
      <c r="AK25">
        <f t="shared" ca="1" si="1"/>
        <v>2025</v>
      </c>
      <c r="AL25">
        <f t="shared" si="2"/>
        <v>0</v>
      </c>
      <c r="AM25" t="e" cm="1">
        <f t="array" aca="1" ref="AM25" ca="1">IF(B25="Yes",YEAR(TODAY()),BLANK())</f>
        <v>#NAME?</v>
      </c>
      <c r="AN25" t="str" cm="1">
        <f t="array" ref="AN25" xml:space="preserve"> _xlfn.IFS(A25&lt;25,"&lt;25",
A25&lt;=35,"25-35",
A25&lt;=45,"36-45",
TRUE,"45+"
)</f>
        <v>&lt;25</v>
      </c>
      <c r="AO25" t="str" cm="1">
        <f t="array" ref="AO25">_xlfn.IFS(S25&lt;5000,"Low",
S25&lt;=15000,"Medium",
TRUE,"High")</f>
        <v>Low</v>
      </c>
    </row>
    <row r="26" spans="1:41" hidden="1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 t="str">
        <f t="shared" si="0"/>
        <v>Resigned</v>
      </c>
      <c r="AK26">
        <f t="shared" ca="1" si="1"/>
        <v>2017</v>
      </c>
      <c r="AL26">
        <f t="shared" si="2"/>
        <v>1</v>
      </c>
      <c r="AM26" cm="1">
        <f t="array" aca="1" ref="AM26" ca="1">IF(B26="Yes",YEAR(TODAY()),BLANK())</f>
        <v>2025</v>
      </c>
      <c r="AN26" t="str" cm="1">
        <f t="array" ref="AN26" xml:space="preserve"> _xlfn.IFS(A26&lt;25,"&lt;25",
A26&lt;=35,"25-35",
A26&lt;=45,"36-45",
TRUE,"45+"
)</f>
        <v>25-35</v>
      </c>
      <c r="AO26" t="str" cm="1">
        <f t="array" ref="AO26">_xlfn.IFS(S26&lt;5000,"Low",
S26&lt;=15000,"Medium",
TRUE,"High")</f>
        <v>Low</v>
      </c>
    </row>
    <row r="27" spans="1:41" hidden="1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 t="str">
        <f t="shared" si="0"/>
        <v>Active</v>
      </c>
      <c r="AK27">
        <f t="shared" ca="1" si="1"/>
        <v>1999</v>
      </c>
      <c r="AL27">
        <f t="shared" si="2"/>
        <v>0</v>
      </c>
      <c r="AM27" t="e" cm="1">
        <f t="array" aca="1" ref="AM27" ca="1">IF(B27="Yes",YEAR(TODAY()),BLANK())</f>
        <v>#NAME?</v>
      </c>
      <c r="AN27" t="str" cm="1">
        <f t="array" ref="AN27" xml:space="preserve"> _xlfn.IFS(A27&lt;25,"&lt;25",
A27&lt;=35,"25-35",
A27&lt;=45,"36-45",
TRUE,"45+"
)</f>
        <v>45+</v>
      </c>
      <c r="AO27" t="str" cm="1">
        <f t="array" ref="AO27">_xlfn.IFS(S27&lt;5000,"Low",
S27&lt;=15000,"Medium",
TRUE,"High")</f>
        <v>High</v>
      </c>
    </row>
    <row r="28" spans="1:41" hidden="1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 t="str">
        <f t="shared" si="0"/>
        <v>Resigned</v>
      </c>
      <c r="AK28">
        <f t="shared" ca="1" si="1"/>
        <v>2015</v>
      </c>
      <c r="AL28">
        <f t="shared" si="2"/>
        <v>1</v>
      </c>
      <c r="AM28" cm="1">
        <f t="array" aca="1" ref="AM28" ca="1">IF(B28="Yes",YEAR(TODAY()),BLANK())</f>
        <v>2025</v>
      </c>
      <c r="AN28" t="str" cm="1">
        <f t="array" ref="AN28" xml:space="preserve"> _xlfn.IFS(A28&lt;25,"&lt;25",
A28&lt;=35,"25-35",
A28&lt;=45,"36-45",
TRUE,"45+"
)</f>
        <v>25-35</v>
      </c>
      <c r="AO28" t="str" cm="1">
        <f t="array" ref="AO28">_xlfn.IFS(S28&lt;5000,"Low",
S28&lt;=15000,"Medium",
TRUE,"High")</f>
        <v>Low</v>
      </c>
    </row>
    <row r="29" spans="1:41" hidden="1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 t="str">
        <f t="shared" si="0"/>
        <v>Active</v>
      </c>
      <c r="AK29">
        <f t="shared" ca="1" si="1"/>
        <v>2015</v>
      </c>
      <c r="AL29">
        <f t="shared" si="2"/>
        <v>0</v>
      </c>
      <c r="AM29" t="e" cm="1">
        <f t="array" aca="1" ref="AM29" ca="1">IF(B29="Yes",YEAR(TODAY()),BLANK())</f>
        <v>#NAME?</v>
      </c>
      <c r="AN29" t="str" cm="1">
        <f t="array" ref="AN29" xml:space="preserve"> _xlfn.IFS(A29&lt;25,"&lt;25",
A29&lt;=35,"25-35",
A29&lt;=45,"36-45",
TRUE,"45+"
)</f>
        <v>36-45</v>
      </c>
      <c r="AO29" t="str" cm="1">
        <f t="array" ref="AO29">_xlfn.IFS(S29&lt;5000,"Low",
S29&lt;=15000,"Medium",
TRUE,"High")</f>
        <v>Medium</v>
      </c>
    </row>
    <row r="30" spans="1:41" hidden="1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 t="str">
        <f t="shared" si="0"/>
        <v>Active</v>
      </c>
      <c r="AK30">
        <f t="shared" ca="1" si="1"/>
        <v>2001</v>
      </c>
      <c r="AL30">
        <f t="shared" si="2"/>
        <v>0</v>
      </c>
      <c r="AM30" t="e" cm="1">
        <f t="array" aca="1" ref="AM30" ca="1">IF(B30="Yes",YEAR(TODAY()),BLANK())</f>
        <v>#NAME?</v>
      </c>
      <c r="AN30" t="str" cm="1">
        <f t="array" ref="AN30" xml:space="preserve"> _xlfn.IFS(A30&lt;25,"&lt;25",
A30&lt;=35,"25-35",
A30&lt;=45,"36-45",
TRUE,"45+"
)</f>
        <v>36-45</v>
      </c>
      <c r="AO30" t="str" cm="1">
        <f t="array" ref="AO30">_xlfn.IFS(S30&lt;5000,"Low",
S30&lt;=15000,"Medium",
TRUE,"High")</f>
        <v>Medium</v>
      </c>
    </row>
    <row r="31" spans="1:41" hidden="1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 t="str">
        <f t="shared" si="0"/>
        <v>Active</v>
      </c>
      <c r="AK31">
        <f t="shared" ca="1" si="1"/>
        <v>2003</v>
      </c>
      <c r="AL31">
        <f t="shared" si="2"/>
        <v>0</v>
      </c>
      <c r="AM31" t="e" cm="1">
        <f t="array" aca="1" ref="AM31" ca="1">IF(B31="Yes",YEAR(TODAY()),BLANK())</f>
        <v>#NAME?</v>
      </c>
      <c r="AN31" t="str" cm="1">
        <f t="array" ref="AN31" xml:space="preserve"> _xlfn.IFS(A31&lt;25,"&lt;25",
A31&lt;=35,"25-35",
A31&lt;=45,"36-45",
TRUE,"45+"
)</f>
        <v>45+</v>
      </c>
      <c r="AO31" t="str" cm="1">
        <f t="array" ref="AO31">_xlfn.IFS(S31&lt;5000,"Low",
S31&lt;=15000,"Medium",
TRUE,"High")</f>
        <v>High</v>
      </c>
    </row>
    <row r="32" spans="1:41" hidden="1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 t="str">
        <f t="shared" si="0"/>
        <v>Active</v>
      </c>
      <c r="AK32">
        <f t="shared" ca="1" si="1"/>
        <v>2018</v>
      </c>
      <c r="AL32">
        <f t="shared" si="2"/>
        <v>0</v>
      </c>
      <c r="AM32" t="e" cm="1">
        <f t="array" aca="1" ref="AM32" ca="1">IF(B32="Yes",YEAR(TODAY()),BLANK())</f>
        <v>#NAME?</v>
      </c>
      <c r="AN32" t="str" cm="1">
        <f t="array" ref="AN32" xml:space="preserve"> _xlfn.IFS(A32&lt;25,"&lt;25",
A32&lt;=35,"25-35",
A32&lt;=45,"36-45",
TRUE,"45+"
)</f>
        <v>25-35</v>
      </c>
      <c r="AO32" t="str" cm="1">
        <f t="array" ref="AO32">_xlfn.IFS(S32&lt;5000,"Low",
S32&lt;=15000,"Medium",
TRUE,"High")</f>
        <v>Low</v>
      </c>
    </row>
    <row r="33" spans="1:41" hidden="1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 t="str">
        <f t="shared" si="0"/>
        <v>Active</v>
      </c>
      <c r="AK33">
        <f t="shared" ca="1" si="1"/>
        <v>2016</v>
      </c>
      <c r="AL33">
        <f t="shared" si="2"/>
        <v>0</v>
      </c>
      <c r="AM33" t="e" cm="1">
        <f t="array" aca="1" ref="AM33" ca="1">IF(B33="Yes",YEAR(TODAY()),BLANK())</f>
        <v>#NAME?</v>
      </c>
      <c r="AN33" t="str" cm="1">
        <f t="array" ref="AN33" xml:space="preserve"> _xlfn.IFS(A33&lt;25,"&lt;25",
A33&lt;=35,"25-35",
A33&lt;=45,"36-45",
TRUE,"45+"
)</f>
        <v>36-45</v>
      </c>
      <c r="AO33" t="str" cm="1">
        <f t="array" ref="AO33">_xlfn.IFS(S33&lt;5000,"Low",
S33&lt;=15000,"Medium",
TRUE,"High")</f>
        <v>Medium</v>
      </c>
    </row>
    <row r="34" spans="1:41" hidden="1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 t="str">
        <f t="shared" si="0"/>
        <v>Active</v>
      </c>
      <c r="AK34">
        <f t="shared" ca="1" si="1"/>
        <v>2015</v>
      </c>
      <c r="AL34">
        <f t="shared" si="2"/>
        <v>0</v>
      </c>
      <c r="AM34" t="e" cm="1">
        <f t="array" aca="1" ref="AM34" ca="1">IF(B34="Yes",YEAR(TODAY()),BLANK())</f>
        <v>#NAME?</v>
      </c>
      <c r="AN34" t="str" cm="1">
        <f t="array" ref="AN34" xml:space="preserve"> _xlfn.IFS(A34&lt;25,"&lt;25",
A34&lt;=35,"25-35",
A34&lt;=45,"36-45",
TRUE,"45+"
)</f>
        <v>25-35</v>
      </c>
      <c r="AO34" t="str" cm="1">
        <f t="array" ref="AO34">_xlfn.IFS(S34&lt;5000,"Low",
S34&lt;=15000,"Medium",
TRUE,"High")</f>
        <v>Low</v>
      </c>
    </row>
    <row r="35" spans="1:41" hidden="1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 t="str">
        <f t="shared" si="0"/>
        <v>Resigned</v>
      </c>
      <c r="AK35">
        <f t="shared" ca="1" si="1"/>
        <v>2006</v>
      </c>
      <c r="AL35">
        <f t="shared" si="2"/>
        <v>1</v>
      </c>
      <c r="AM35" cm="1">
        <f t="array" aca="1" ref="AM35" ca="1">IF(B35="Yes",YEAR(TODAY()),BLANK())</f>
        <v>2025</v>
      </c>
      <c r="AN35" t="str" cm="1">
        <f t="array" ref="AN35" xml:space="preserve"> _xlfn.IFS(A35&lt;25,"&lt;25",
A35&lt;=35,"25-35",
A35&lt;=45,"36-45",
TRUE,"45+"
)</f>
        <v>36-45</v>
      </c>
      <c r="AO35" t="str" cm="1">
        <f t="array" ref="AO35">_xlfn.IFS(S35&lt;5000,"Low",
S35&lt;=15000,"Medium",
TRUE,"High")</f>
        <v>Low</v>
      </c>
    </row>
    <row r="36" spans="1:41" hidden="1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 t="str">
        <f t="shared" si="0"/>
        <v>Resigned</v>
      </c>
      <c r="AK36">
        <f t="shared" ca="1" si="1"/>
        <v>2019</v>
      </c>
      <c r="AL36">
        <f t="shared" si="2"/>
        <v>1</v>
      </c>
      <c r="AM36" cm="1">
        <f t="array" aca="1" ref="AM36" ca="1">IF(B36="Yes",YEAR(TODAY()),BLANK())</f>
        <v>2025</v>
      </c>
      <c r="AN36" t="str" cm="1">
        <f t="array" ref="AN36" xml:space="preserve"> _xlfn.IFS(A36&lt;25,"&lt;25",
A36&lt;=35,"25-35",
A36&lt;=45,"36-45",
TRUE,"45+"
)</f>
        <v>&lt;25</v>
      </c>
      <c r="AO36" t="str" cm="1">
        <f t="array" ref="AO36">_xlfn.IFS(S36&lt;5000,"Low",
S36&lt;=15000,"Medium",
TRUE,"High")</f>
        <v>Low</v>
      </c>
    </row>
    <row r="37" spans="1:41" hidden="1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 t="str">
        <f t="shared" si="0"/>
        <v>Active</v>
      </c>
      <c r="AK37">
        <f t="shared" ca="1" si="1"/>
        <v>2019</v>
      </c>
      <c r="AL37">
        <f t="shared" si="2"/>
        <v>0</v>
      </c>
      <c r="AM37" t="e" cm="1">
        <f t="array" aca="1" ref="AM37" ca="1">IF(B37="Yes",YEAR(TODAY()),BLANK())</f>
        <v>#NAME?</v>
      </c>
      <c r="AN37" t="str" cm="1">
        <f t="array" ref="AN37" xml:space="preserve"> _xlfn.IFS(A37&lt;25,"&lt;25",
A37&lt;=35,"25-35",
A37&lt;=45,"36-45",
TRUE,"45+"
)</f>
        <v>36-45</v>
      </c>
      <c r="AO37" t="str" cm="1">
        <f t="array" ref="AO37">_xlfn.IFS(S37&lt;5000,"Low",
S37&lt;=15000,"Medium",
TRUE,"High")</f>
        <v>Low</v>
      </c>
    </row>
    <row r="38" spans="1:41" hidden="1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 t="str">
        <f t="shared" si="0"/>
        <v>Resigned</v>
      </c>
      <c r="AK38">
        <f t="shared" ca="1" si="1"/>
        <v>2022</v>
      </c>
      <c r="AL38">
        <f t="shared" si="2"/>
        <v>1</v>
      </c>
      <c r="AM38" cm="1">
        <f t="array" aca="1" ref="AM38" ca="1">IF(B38="Yes",YEAR(TODAY()),BLANK())</f>
        <v>2025</v>
      </c>
      <c r="AN38" t="str" cm="1">
        <f t="array" ref="AN38" xml:space="preserve"> _xlfn.IFS(A38&lt;25,"&lt;25",
A38&lt;=35,"25-35",
A38&lt;=45,"36-45",
TRUE,"45+"
)</f>
        <v>45+</v>
      </c>
      <c r="AO38" t="str" cm="1">
        <f t="array" ref="AO38">_xlfn.IFS(S38&lt;5000,"Low",
S38&lt;=15000,"Medium",
TRUE,"High")</f>
        <v>Low</v>
      </c>
    </row>
    <row r="39" spans="1:41" hidden="1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 t="str">
        <f t="shared" si="0"/>
        <v>Active</v>
      </c>
      <c r="AK39">
        <f t="shared" ca="1" si="1"/>
        <v>2023</v>
      </c>
      <c r="AL39">
        <f t="shared" si="2"/>
        <v>0</v>
      </c>
      <c r="AM39" t="e" cm="1">
        <f t="array" aca="1" ref="AM39" ca="1">IF(B39="Yes",YEAR(TODAY()),BLANK())</f>
        <v>#NAME?</v>
      </c>
      <c r="AN39" t="str" cm="1">
        <f t="array" ref="AN39" xml:space="preserve"> _xlfn.IFS(A39&lt;25,"&lt;25",
A39&lt;=35,"25-35",
A39&lt;=45,"36-45",
TRUE,"45+"
)</f>
        <v>25-35</v>
      </c>
      <c r="AO39" t="str" cm="1">
        <f t="array" ref="AO39">_xlfn.IFS(S39&lt;5000,"Low",
S39&lt;=15000,"Medium",
TRUE,"High")</f>
        <v>Low</v>
      </c>
    </row>
    <row r="40" spans="1:41" hidden="1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 t="str">
        <f t="shared" si="0"/>
        <v>Active</v>
      </c>
      <c r="AK40">
        <f t="shared" ca="1" si="1"/>
        <v>2019</v>
      </c>
      <c r="AL40">
        <f t="shared" si="2"/>
        <v>0</v>
      </c>
      <c r="AM40" t="e" cm="1">
        <f t="array" aca="1" ref="AM40" ca="1">IF(B40="Yes",YEAR(TODAY()),BLANK())</f>
        <v>#NAME?</v>
      </c>
      <c r="AN40" t="str" cm="1">
        <f t="array" ref="AN40" xml:space="preserve"> _xlfn.IFS(A40&lt;25,"&lt;25",
A40&lt;=35,"25-35",
A40&lt;=45,"36-45",
TRUE,"45+"
)</f>
        <v>36-45</v>
      </c>
      <c r="AO40" t="str" cm="1">
        <f t="array" ref="AO40">_xlfn.IFS(S40&lt;5000,"Low",
S40&lt;=15000,"Medium",
TRUE,"High")</f>
        <v>Low</v>
      </c>
    </row>
    <row r="41" spans="1:41" hidden="1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 t="str">
        <f t="shared" si="0"/>
        <v>Active</v>
      </c>
      <c r="AK41">
        <f t="shared" ca="1" si="1"/>
        <v>2015</v>
      </c>
      <c r="AL41">
        <f t="shared" si="2"/>
        <v>0</v>
      </c>
      <c r="AM41" t="e" cm="1">
        <f t="array" aca="1" ref="AM41" ca="1">IF(B41="Yes",YEAR(TODAY()),BLANK())</f>
        <v>#NAME?</v>
      </c>
      <c r="AN41" t="str" cm="1">
        <f t="array" ref="AN41" xml:space="preserve"> _xlfn.IFS(A41&lt;25,"&lt;25",
A41&lt;=35,"25-35",
A41&lt;=45,"36-45",
TRUE,"45+"
)</f>
        <v>25-35</v>
      </c>
      <c r="AO41" t="str" cm="1">
        <f t="array" ref="AO41">_xlfn.IFS(S41&lt;5000,"Low",
S41&lt;=15000,"Medium",
TRUE,"High")</f>
        <v>Medium</v>
      </c>
    </row>
    <row r="42" spans="1:41" hidden="1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 t="str">
        <f t="shared" si="0"/>
        <v>Active</v>
      </c>
      <c r="AK42">
        <f t="shared" ca="1" si="1"/>
        <v>2024</v>
      </c>
      <c r="AL42">
        <f t="shared" si="2"/>
        <v>0</v>
      </c>
      <c r="AM42" t="e" cm="1">
        <f t="array" aca="1" ref="AM42" ca="1">IF(B42="Yes",YEAR(TODAY()),BLANK())</f>
        <v>#NAME?</v>
      </c>
      <c r="AN42" t="str" cm="1">
        <f t="array" ref="AN42" xml:space="preserve"> _xlfn.IFS(A42&lt;25,"&lt;25",
A42&lt;=35,"25-35",
A42&lt;=45,"36-45",
TRUE,"45+"
)</f>
        <v>25-35</v>
      </c>
      <c r="AO42" t="str" cm="1">
        <f t="array" ref="AO42">_xlfn.IFS(S42&lt;5000,"Low",
S42&lt;=15000,"Medium",
TRUE,"High")</f>
        <v>Low</v>
      </c>
    </row>
    <row r="43" spans="1:41" hidden="1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 t="str">
        <f t="shared" si="0"/>
        <v>Active</v>
      </c>
      <c r="AK43">
        <f t="shared" ca="1" si="1"/>
        <v>2024</v>
      </c>
      <c r="AL43">
        <f t="shared" si="2"/>
        <v>0</v>
      </c>
      <c r="AM43" t="e" cm="1">
        <f t="array" aca="1" ref="AM43" ca="1">IF(B43="Yes",YEAR(TODAY()),BLANK())</f>
        <v>#NAME?</v>
      </c>
      <c r="AN43" t="str" cm="1">
        <f t="array" ref="AN43" xml:space="preserve"> _xlfn.IFS(A43&lt;25,"&lt;25",
A43&lt;=35,"25-35",
A43&lt;=45,"36-45",
TRUE,"45+"
)</f>
        <v>25-35</v>
      </c>
      <c r="AO43" t="str" cm="1">
        <f t="array" ref="AO43">_xlfn.IFS(S43&lt;5000,"Low",
S43&lt;=15000,"Medium",
TRUE,"High")</f>
        <v>Low</v>
      </c>
    </row>
    <row r="44" spans="1:41" hidden="1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 t="str">
        <f t="shared" si="0"/>
        <v>Resigned</v>
      </c>
      <c r="AK44">
        <f t="shared" ca="1" si="1"/>
        <v>2024</v>
      </c>
      <c r="AL44">
        <f t="shared" si="2"/>
        <v>1</v>
      </c>
      <c r="AM44" cm="1">
        <f t="array" aca="1" ref="AM44" ca="1">IF(B44="Yes",YEAR(TODAY()),BLANK())</f>
        <v>2025</v>
      </c>
      <c r="AN44" t="str" cm="1">
        <f t="array" ref="AN44" xml:space="preserve"> _xlfn.IFS(A44&lt;25,"&lt;25",
A44&lt;=35,"25-35",
A44&lt;=45,"36-45",
TRUE,"45+"
)</f>
        <v>25-35</v>
      </c>
      <c r="AO44" t="str" cm="1">
        <f t="array" ref="AO44">_xlfn.IFS(S44&lt;5000,"Low",
S44&lt;=15000,"Medium",
TRUE,"High")</f>
        <v>Low</v>
      </c>
    </row>
    <row r="45" spans="1:41" hidden="1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 t="str">
        <f t="shared" si="0"/>
        <v>Active</v>
      </c>
      <c r="AK45">
        <f t="shared" ca="1" si="1"/>
        <v>2016</v>
      </c>
      <c r="AL45">
        <f t="shared" si="2"/>
        <v>0</v>
      </c>
      <c r="AM45" t="e" cm="1">
        <f t="array" aca="1" ref="AM45" ca="1">IF(B45="Yes",YEAR(TODAY()),BLANK())</f>
        <v>#NAME?</v>
      </c>
      <c r="AN45" t="str" cm="1">
        <f t="array" ref="AN45" xml:space="preserve"> _xlfn.IFS(A45&lt;25,"&lt;25",
A45&lt;=35,"25-35",
A45&lt;=45,"36-45",
TRUE,"45+"
)</f>
        <v>25-35</v>
      </c>
      <c r="AO45" t="str" cm="1">
        <f t="array" ref="AO45">_xlfn.IFS(S45&lt;5000,"Low",
S45&lt;=15000,"Medium",
TRUE,"High")</f>
        <v>Medium</v>
      </c>
    </row>
    <row r="46" spans="1:41" hidden="1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 t="str">
        <f t="shared" si="0"/>
        <v>Active</v>
      </c>
      <c r="AK46">
        <f t="shared" ca="1" si="1"/>
        <v>2013</v>
      </c>
      <c r="AL46">
        <f t="shared" si="2"/>
        <v>0</v>
      </c>
      <c r="AM46" t="e" cm="1">
        <f t="array" aca="1" ref="AM46" ca="1">IF(B46="Yes",YEAR(TODAY()),BLANK())</f>
        <v>#NAME?</v>
      </c>
      <c r="AN46" t="str" cm="1">
        <f t="array" ref="AN46" xml:space="preserve"> _xlfn.IFS(A46&lt;25,"&lt;25",
A46&lt;=35,"25-35",
A46&lt;=45,"36-45",
TRUE,"45+"
)</f>
        <v>25-35</v>
      </c>
      <c r="AO46" t="str" cm="1">
        <f t="array" ref="AO46">_xlfn.IFS(S46&lt;5000,"Low",
S46&lt;=15000,"Medium",
TRUE,"High")</f>
        <v>Low</v>
      </c>
    </row>
    <row r="47" spans="1:41" hidden="1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 t="str">
        <f t="shared" si="0"/>
        <v>Resigned</v>
      </c>
      <c r="AK47">
        <f t="shared" ca="1" si="1"/>
        <v>2002</v>
      </c>
      <c r="AL47">
        <f t="shared" si="2"/>
        <v>1</v>
      </c>
      <c r="AM47" cm="1">
        <f t="array" aca="1" ref="AM47" ca="1">IF(B47="Yes",YEAR(TODAY()),BLANK())</f>
        <v>2025</v>
      </c>
      <c r="AN47" t="str" cm="1">
        <f t="array" ref="AN47" xml:space="preserve"> _xlfn.IFS(A47&lt;25,"&lt;25",
A47&lt;=35,"25-35",
A47&lt;=45,"36-45",
TRUE,"45+"
)</f>
        <v>36-45</v>
      </c>
      <c r="AO47" t="str" cm="1">
        <f t="array" ref="AO47">_xlfn.IFS(S47&lt;5000,"Low",
S47&lt;=15000,"Medium",
TRUE,"High")</f>
        <v>High</v>
      </c>
    </row>
    <row r="48" spans="1:41" hidden="1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 t="str">
        <f t="shared" si="0"/>
        <v>Active</v>
      </c>
      <c r="AK48">
        <f t="shared" ca="1" si="1"/>
        <v>2015</v>
      </c>
      <c r="AL48">
        <f t="shared" si="2"/>
        <v>0</v>
      </c>
      <c r="AM48" t="e" cm="1">
        <f t="array" aca="1" ref="AM48" ca="1">IF(B48="Yes",YEAR(TODAY()),BLANK())</f>
        <v>#NAME?</v>
      </c>
      <c r="AN48" t="str" cm="1">
        <f t="array" ref="AN48" xml:space="preserve"> _xlfn.IFS(A48&lt;25,"&lt;25",
A48&lt;=35,"25-35",
A48&lt;=45,"36-45",
TRUE,"45+"
)</f>
        <v>25-35</v>
      </c>
      <c r="AO48" t="str" cm="1">
        <f t="array" ref="AO48">_xlfn.IFS(S48&lt;5000,"Low",
S48&lt;=15000,"Medium",
TRUE,"High")</f>
        <v>Low</v>
      </c>
    </row>
    <row r="49" spans="1:41" hidden="1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 t="str">
        <f t="shared" si="0"/>
        <v>Active</v>
      </c>
      <c r="AK49">
        <f t="shared" ca="1" si="1"/>
        <v>2017</v>
      </c>
      <c r="AL49">
        <f t="shared" si="2"/>
        <v>0</v>
      </c>
      <c r="AM49" t="e" cm="1">
        <f t="array" aca="1" ref="AM49" ca="1">IF(B49="Yes",YEAR(TODAY()),BLANK())</f>
        <v>#NAME?</v>
      </c>
      <c r="AN49" t="str" cm="1">
        <f t="array" ref="AN49" xml:space="preserve"> _xlfn.IFS(A49&lt;25,"&lt;25",
A49&lt;=35,"25-35",
A49&lt;=45,"36-45",
TRUE,"45+"
)</f>
        <v>36-45</v>
      </c>
      <c r="AO49" t="str" cm="1">
        <f t="array" ref="AO49">_xlfn.IFS(S49&lt;5000,"Low",
S49&lt;=15000,"Medium",
TRUE,"High")</f>
        <v>Low</v>
      </c>
    </row>
    <row r="50" spans="1:41" hidden="1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 t="str">
        <f t="shared" si="0"/>
        <v>Active</v>
      </c>
      <c r="AK50">
        <f t="shared" ca="1" si="1"/>
        <v>2011</v>
      </c>
      <c r="AL50">
        <f t="shared" si="2"/>
        <v>0</v>
      </c>
      <c r="AM50" t="e" cm="1">
        <f t="array" aca="1" ref="AM50" ca="1">IF(B50="Yes",YEAR(TODAY()),BLANK())</f>
        <v>#NAME?</v>
      </c>
      <c r="AN50" t="str" cm="1">
        <f t="array" ref="AN50" xml:space="preserve"> _xlfn.IFS(A50&lt;25,"&lt;25",
A50&lt;=35,"25-35",
A50&lt;=45,"36-45",
TRUE,"45+"
)</f>
        <v>45+</v>
      </c>
      <c r="AO50" t="str" cm="1">
        <f t="array" ref="AO50">_xlfn.IFS(S50&lt;5000,"Low",
S50&lt;=15000,"Medium",
TRUE,"High")</f>
        <v>Medium</v>
      </c>
    </row>
    <row r="51" spans="1:41" hidden="1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 t="str">
        <f t="shared" si="0"/>
        <v>Active</v>
      </c>
      <c r="AK51">
        <f t="shared" ca="1" si="1"/>
        <v>2024</v>
      </c>
      <c r="AL51">
        <f t="shared" si="2"/>
        <v>0</v>
      </c>
      <c r="AM51" t="e" cm="1">
        <f t="array" aca="1" ref="AM51" ca="1">IF(B51="Yes",YEAR(TODAY()),BLANK())</f>
        <v>#NAME?</v>
      </c>
      <c r="AN51" t="str" cm="1">
        <f t="array" ref="AN51" xml:space="preserve"> _xlfn.IFS(A51&lt;25,"&lt;25",
A51&lt;=35,"25-35",
A51&lt;=45,"36-45",
TRUE,"45+"
)</f>
        <v>25-35</v>
      </c>
      <c r="AO51" t="str" cm="1">
        <f t="array" ref="AO51">_xlfn.IFS(S51&lt;5000,"Low",
S51&lt;=15000,"Medium",
TRUE,"High")</f>
        <v>Low</v>
      </c>
    </row>
    <row r="52" spans="1:41" hidden="1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 t="str">
        <f t="shared" si="0"/>
        <v>Resigned</v>
      </c>
      <c r="AK52">
        <f t="shared" ca="1" si="1"/>
        <v>2002</v>
      </c>
      <c r="AL52">
        <f t="shared" si="2"/>
        <v>1</v>
      </c>
      <c r="AM52" cm="1">
        <f t="array" aca="1" ref="AM52" ca="1">IF(B52="Yes",YEAR(TODAY()),BLANK())</f>
        <v>2025</v>
      </c>
      <c r="AN52" t="str" cm="1">
        <f t="array" ref="AN52" xml:space="preserve"> _xlfn.IFS(A52&lt;25,"&lt;25",
A52&lt;=35,"25-35",
A52&lt;=45,"36-45",
TRUE,"45+"
)</f>
        <v>45+</v>
      </c>
      <c r="AO52" t="str" cm="1">
        <f t="array" ref="AO52">_xlfn.IFS(S52&lt;5000,"Low",
S52&lt;=15000,"Medium",
TRUE,"High")</f>
        <v>Medium</v>
      </c>
    </row>
    <row r="53" spans="1:41" hidden="1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 t="str">
        <f t="shared" si="0"/>
        <v>Resigned</v>
      </c>
      <c r="AK53">
        <f t="shared" ca="1" si="1"/>
        <v>2023</v>
      </c>
      <c r="AL53">
        <f t="shared" si="2"/>
        <v>1</v>
      </c>
      <c r="AM53" cm="1">
        <f t="array" aca="1" ref="AM53" ca="1">IF(B53="Yes",YEAR(TODAY()),BLANK())</f>
        <v>2025</v>
      </c>
      <c r="AN53" t="str" cm="1">
        <f t="array" ref="AN53" xml:space="preserve"> _xlfn.IFS(A53&lt;25,"&lt;25",
A53&lt;=35,"25-35",
A53&lt;=45,"36-45",
TRUE,"45+"
)</f>
        <v>25-35</v>
      </c>
      <c r="AO53" t="str" cm="1">
        <f t="array" ref="AO53">_xlfn.IFS(S53&lt;5000,"Low",
S53&lt;=15000,"Medium",
TRUE,"High")</f>
        <v>Low</v>
      </c>
    </row>
    <row r="54" spans="1:41" hidden="1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 t="str">
        <f t="shared" si="0"/>
        <v>Active</v>
      </c>
      <c r="AK54">
        <f t="shared" ca="1" si="1"/>
        <v>2016</v>
      </c>
      <c r="AL54">
        <f t="shared" si="2"/>
        <v>0</v>
      </c>
      <c r="AM54" t="e" cm="1">
        <f t="array" aca="1" ref="AM54" ca="1">IF(B54="Yes",YEAR(TODAY()),BLANK())</f>
        <v>#NAME?</v>
      </c>
      <c r="AN54" t="str" cm="1">
        <f t="array" ref="AN54" xml:space="preserve"> _xlfn.IFS(A54&lt;25,"&lt;25",
A54&lt;=35,"25-35",
A54&lt;=45,"36-45",
TRUE,"45+"
)</f>
        <v>36-45</v>
      </c>
      <c r="AO54" t="str" cm="1">
        <f t="array" ref="AO54">_xlfn.IFS(S54&lt;5000,"Low",
S54&lt;=15000,"Medium",
TRUE,"High")</f>
        <v>Medium</v>
      </c>
    </row>
    <row r="55" spans="1:41" hidden="1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 t="str">
        <f t="shared" si="0"/>
        <v>Active</v>
      </c>
      <c r="AK55">
        <f t="shared" ca="1" si="1"/>
        <v>2015</v>
      </c>
      <c r="AL55">
        <f t="shared" si="2"/>
        <v>0</v>
      </c>
      <c r="AM55" t="e" cm="1">
        <f t="array" aca="1" ref="AM55" ca="1">IF(B55="Yes",YEAR(TODAY()),BLANK())</f>
        <v>#NAME?</v>
      </c>
      <c r="AN55" t="str" cm="1">
        <f t="array" ref="AN55" xml:space="preserve"> _xlfn.IFS(A55&lt;25,"&lt;25",
A55&lt;=35,"25-35",
A55&lt;=45,"36-45",
TRUE,"45+"
)</f>
        <v>25-35</v>
      </c>
      <c r="AO55" t="str" cm="1">
        <f t="array" ref="AO55">_xlfn.IFS(S55&lt;5000,"Low",
S55&lt;=15000,"Medium",
TRUE,"High")</f>
        <v>Medium</v>
      </c>
    </row>
    <row r="56" spans="1:41" hidden="1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 t="str">
        <f t="shared" si="0"/>
        <v>Active</v>
      </c>
      <c r="AK56">
        <f t="shared" ca="1" si="1"/>
        <v>2020</v>
      </c>
      <c r="AL56">
        <f t="shared" si="2"/>
        <v>0</v>
      </c>
      <c r="AM56" t="e" cm="1">
        <f t="array" aca="1" ref="AM56" ca="1">IF(B56="Yes",YEAR(TODAY()),BLANK())</f>
        <v>#NAME?</v>
      </c>
      <c r="AN56" t="str" cm="1">
        <f t="array" ref="AN56" xml:space="preserve"> _xlfn.IFS(A56&lt;25,"&lt;25",
A56&lt;=35,"25-35",
A56&lt;=45,"36-45",
TRUE,"45+"
)</f>
        <v>25-35</v>
      </c>
      <c r="AO56" t="str" cm="1">
        <f t="array" ref="AO56">_xlfn.IFS(S56&lt;5000,"Low",
S56&lt;=15000,"Medium",
TRUE,"High")</f>
        <v>Low</v>
      </c>
    </row>
    <row r="57" spans="1:41" hidden="1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 t="str">
        <f t="shared" si="0"/>
        <v>Active</v>
      </c>
      <c r="AK57">
        <f t="shared" ca="1" si="1"/>
        <v>2010</v>
      </c>
      <c r="AL57">
        <f t="shared" si="2"/>
        <v>0</v>
      </c>
      <c r="AM57" t="e" cm="1">
        <f t="array" aca="1" ref="AM57" ca="1">IF(B57="Yes",YEAR(TODAY()),BLANK())</f>
        <v>#NAME?</v>
      </c>
      <c r="AN57" t="str" cm="1">
        <f t="array" ref="AN57" xml:space="preserve"> _xlfn.IFS(A57&lt;25,"&lt;25",
A57&lt;=35,"25-35",
A57&lt;=45,"36-45",
TRUE,"45+"
)</f>
        <v>25-35</v>
      </c>
      <c r="AO57" t="str" cm="1">
        <f t="array" ref="AO57">_xlfn.IFS(S57&lt;5000,"Low",
S57&lt;=15000,"Medium",
TRUE,"High")</f>
        <v>Medium</v>
      </c>
    </row>
    <row r="58" spans="1:41" hidden="1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 t="str">
        <f t="shared" si="0"/>
        <v>Active</v>
      </c>
      <c r="AK58">
        <f t="shared" ca="1" si="1"/>
        <v>2016</v>
      </c>
      <c r="AL58">
        <f t="shared" si="2"/>
        <v>0</v>
      </c>
      <c r="AM58" t="e" cm="1">
        <f t="array" aca="1" ref="AM58" ca="1">IF(B58="Yes",YEAR(TODAY()),BLANK())</f>
        <v>#NAME?</v>
      </c>
      <c r="AN58" t="str" cm="1">
        <f t="array" ref="AN58" xml:space="preserve"> _xlfn.IFS(A58&lt;25,"&lt;25",
A58&lt;=35,"25-35",
A58&lt;=45,"36-45",
TRUE,"45+"
)</f>
        <v>25-35</v>
      </c>
      <c r="AO58" t="str" cm="1">
        <f t="array" ref="AO58">_xlfn.IFS(S58&lt;5000,"Low",
S58&lt;=15000,"Medium",
TRUE,"High")</f>
        <v>Medium</v>
      </c>
    </row>
    <row r="59" spans="1:41" hidden="1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 t="str">
        <f t="shared" si="0"/>
        <v>Active</v>
      </c>
      <c r="AK59">
        <f t="shared" ca="1" si="1"/>
        <v>2021</v>
      </c>
      <c r="AL59">
        <f t="shared" si="2"/>
        <v>0</v>
      </c>
      <c r="AM59" t="e" cm="1">
        <f t="array" aca="1" ref="AM59" ca="1">IF(B59="Yes",YEAR(TODAY()),BLANK())</f>
        <v>#NAME?</v>
      </c>
      <c r="AN59" t="str" cm="1">
        <f t="array" ref="AN59" xml:space="preserve"> _xlfn.IFS(A59&lt;25,"&lt;25",
A59&lt;=35,"25-35",
A59&lt;=45,"36-45",
TRUE,"45+"
)</f>
        <v>25-35</v>
      </c>
      <c r="AO59" t="str" cm="1">
        <f t="array" ref="AO59">_xlfn.IFS(S59&lt;5000,"Low",
S59&lt;=15000,"Medium",
TRUE,"High")</f>
        <v>Low</v>
      </c>
    </row>
    <row r="60" spans="1:41" hidden="1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 t="str">
        <f t="shared" si="0"/>
        <v>Active</v>
      </c>
      <c r="AK60">
        <f t="shared" ca="1" si="1"/>
        <v>2015</v>
      </c>
      <c r="AL60">
        <f t="shared" si="2"/>
        <v>0</v>
      </c>
      <c r="AM60" t="e" cm="1">
        <f t="array" aca="1" ref="AM60" ca="1">IF(B60="Yes",YEAR(TODAY()),BLANK())</f>
        <v>#NAME?</v>
      </c>
      <c r="AN60" t="str" cm="1">
        <f t="array" ref="AN60" xml:space="preserve"> _xlfn.IFS(A60&lt;25,"&lt;25",
A60&lt;=35,"25-35",
A60&lt;=45,"36-45",
TRUE,"45+"
)</f>
        <v>25-35</v>
      </c>
      <c r="AO60" t="str" cm="1">
        <f t="array" ref="AO60">_xlfn.IFS(S60&lt;5000,"Low",
S60&lt;=15000,"Medium",
TRUE,"High")</f>
        <v>Medium</v>
      </c>
    </row>
    <row r="61" spans="1:41" hidden="1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 t="str">
        <f t="shared" si="0"/>
        <v>Active</v>
      </c>
      <c r="AK61">
        <f t="shared" ca="1" si="1"/>
        <v>2018</v>
      </c>
      <c r="AL61">
        <f t="shared" si="2"/>
        <v>0</v>
      </c>
      <c r="AM61" t="e" cm="1">
        <f t="array" aca="1" ref="AM61" ca="1">IF(B61="Yes",YEAR(TODAY()),BLANK())</f>
        <v>#NAME?</v>
      </c>
      <c r="AN61" t="str" cm="1">
        <f t="array" ref="AN61" xml:space="preserve"> _xlfn.IFS(A61&lt;25,"&lt;25",
A61&lt;=35,"25-35",
A61&lt;=45,"36-45",
TRUE,"45+"
)</f>
        <v>36-45</v>
      </c>
      <c r="AO61" t="str" cm="1">
        <f t="array" ref="AO61">_xlfn.IFS(S61&lt;5000,"Low",
S61&lt;=15000,"Medium",
TRUE,"High")</f>
        <v>Medium</v>
      </c>
    </row>
    <row r="62" spans="1:41" hidden="1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 t="str">
        <f t="shared" si="0"/>
        <v>Active</v>
      </c>
      <c r="AK62">
        <f t="shared" ca="1" si="1"/>
        <v>2016</v>
      </c>
      <c r="AL62">
        <f t="shared" si="2"/>
        <v>0</v>
      </c>
      <c r="AM62" t="e" cm="1">
        <f t="array" aca="1" ref="AM62" ca="1">IF(B62="Yes",YEAR(TODAY()),BLANK())</f>
        <v>#NAME?</v>
      </c>
      <c r="AN62" t="str" cm="1">
        <f t="array" ref="AN62" xml:space="preserve"> _xlfn.IFS(A62&lt;25,"&lt;25",
A62&lt;=35,"25-35",
A62&lt;=45,"36-45",
TRUE,"45+"
)</f>
        <v>25-35</v>
      </c>
      <c r="AO62" t="str" cm="1">
        <f t="array" ref="AO62">_xlfn.IFS(S62&lt;5000,"Low",
S62&lt;=15000,"Medium",
TRUE,"High")</f>
        <v>Medium</v>
      </c>
    </row>
    <row r="63" spans="1:41" hidden="1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 t="str">
        <f t="shared" si="0"/>
        <v>Active</v>
      </c>
      <c r="AK63">
        <f t="shared" ca="1" si="1"/>
        <v>2015</v>
      </c>
      <c r="AL63">
        <f t="shared" si="2"/>
        <v>0</v>
      </c>
      <c r="AM63" t="e" cm="1">
        <f t="array" aca="1" ref="AM63" ca="1">IF(B63="Yes",YEAR(TODAY()),BLANK())</f>
        <v>#NAME?</v>
      </c>
      <c r="AN63" t="str" cm="1">
        <f t="array" ref="AN63" xml:space="preserve"> _xlfn.IFS(A63&lt;25,"&lt;25",
A63&lt;=35,"25-35",
A63&lt;=45,"36-45",
TRUE,"45+"
)</f>
        <v>36-45</v>
      </c>
      <c r="AO63" t="str" cm="1">
        <f t="array" ref="AO63">_xlfn.IFS(S63&lt;5000,"Low",
S63&lt;=15000,"Medium",
TRUE,"High")</f>
        <v>Low</v>
      </c>
    </row>
    <row r="64" spans="1:41" hidden="1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 t="str">
        <f t="shared" si="0"/>
        <v>Active</v>
      </c>
      <c r="AK64">
        <f t="shared" ca="1" si="1"/>
        <v>1996</v>
      </c>
      <c r="AL64">
        <f t="shared" si="2"/>
        <v>0</v>
      </c>
      <c r="AM64" t="e" cm="1">
        <f t="array" aca="1" ref="AM64" ca="1">IF(B64="Yes",YEAR(TODAY()),BLANK())</f>
        <v>#NAME?</v>
      </c>
      <c r="AN64" t="str" cm="1">
        <f t="array" ref="AN64" xml:space="preserve"> _xlfn.IFS(A64&lt;25,"&lt;25",
A64&lt;=35,"25-35",
A64&lt;=45,"36-45",
TRUE,"45+"
)</f>
        <v>45+</v>
      </c>
      <c r="AO64" t="str" cm="1">
        <f t="array" ref="AO64">_xlfn.IFS(S64&lt;5000,"Low",
S64&lt;=15000,"Medium",
TRUE,"High")</f>
        <v>High</v>
      </c>
    </row>
    <row r="65" spans="1:41" hidden="1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 t="str">
        <f t="shared" si="0"/>
        <v>Active</v>
      </c>
      <c r="AK65">
        <f t="shared" ca="1" si="1"/>
        <v>1997</v>
      </c>
      <c r="AL65">
        <f t="shared" si="2"/>
        <v>0</v>
      </c>
      <c r="AM65" t="e" cm="1">
        <f t="array" aca="1" ref="AM65" ca="1">IF(B65="Yes",YEAR(TODAY()),BLANK())</f>
        <v>#NAME?</v>
      </c>
      <c r="AN65" t="str" cm="1">
        <f t="array" ref="AN65" xml:space="preserve"> _xlfn.IFS(A65&lt;25,"&lt;25",
A65&lt;=35,"25-35",
A65&lt;=45,"36-45",
TRUE,"45+"
)</f>
        <v>45+</v>
      </c>
      <c r="AO65" t="str" cm="1">
        <f t="array" ref="AO65">_xlfn.IFS(S65&lt;5000,"Low",
S65&lt;=15000,"Medium",
TRUE,"High")</f>
        <v>Medium</v>
      </c>
    </row>
    <row r="66" spans="1:41" hidden="1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 t="str">
        <f t="shared" si="0"/>
        <v>Active</v>
      </c>
      <c r="AK66">
        <f t="shared" ca="1" si="1"/>
        <v>2008</v>
      </c>
      <c r="AL66">
        <f t="shared" si="2"/>
        <v>0</v>
      </c>
      <c r="AM66" t="e" cm="1">
        <f t="array" aca="1" ref="AM66" ca="1">IF(B66="Yes",YEAR(TODAY()),BLANK())</f>
        <v>#NAME?</v>
      </c>
      <c r="AN66" t="str" cm="1">
        <f t="array" ref="AN66" xml:space="preserve"> _xlfn.IFS(A66&lt;25,"&lt;25",
A66&lt;=35,"25-35",
A66&lt;=45,"36-45",
TRUE,"45+"
)</f>
        <v>36-45</v>
      </c>
      <c r="AO66" t="str" cm="1">
        <f t="array" ref="AO66">_xlfn.IFS(S66&lt;5000,"Low",
S66&lt;=15000,"Medium",
TRUE,"High")</f>
        <v>Medium</v>
      </c>
    </row>
    <row r="67" spans="1:41" hidden="1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 t="str">
        <f t="shared" ref="AJ67:AJ130" si="3">IF(B67="Yes", "Resigned","Active")</f>
        <v>Active</v>
      </c>
      <c r="AK67">
        <f t="shared" ref="AK67:AK130" ca="1" si="4">YEAR(TODAY()) - AC67</f>
        <v>2004</v>
      </c>
      <c r="AL67">
        <f t="shared" ref="AL67:AL130" si="5">IF(B67="Yes",1,0)</f>
        <v>0</v>
      </c>
      <c r="AM67" t="e" cm="1">
        <f t="array" aca="1" ref="AM67" ca="1">IF(B67="Yes",YEAR(TODAY()),BLANK())</f>
        <v>#NAME?</v>
      </c>
      <c r="AN67" t="str" cm="1">
        <f t="array" ref="AN67" xml:space="preserve"> _xlfn.IFS(A67&lt;25,"&lt;25",
A67&lt;=35,"25-35",
A67&lt;=45,"36-45",
TRUE,"45+"
)</f>
        <v>45+</v>
      </c>
      <c r="AO67" t="str" cm="1">
        <f t="array" ref="AO67">_xlfn.IFS(S67&lt;5000,"Low",
S67&lt;=15000,"Medium",
TRUE,"High")</f>
        <v>Medium</v>
      </c>
    </row>
    <row r="68" spans="1:41" hidden="1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 t="str">
        <f t="shared" si="3"/>
        <v>Active</v>
      </c>
      <c r="AK68">
        <f t="shared" ca="1" si="4"/>
        <v>2019</v>
      </c>
      <c r="AL68">
        <f t="shared" si="5"/>
        <v>0</v>
      </c>
      <c r="AM68" t="e" cm="1">
        <f t="array" aca="1" ref="AM68" ca="1">IF(B68="Yes",YEAR(TODAY()),BLANK())</f>
        <v>#NAME?</v>
      </c>
      <c r="AN68" t="str" cm="1">
        <f t="array" ref="AN68" xml:space="preserve"> _xlfn.IFS(A68&lt;25,"&lt;25",
A68&lt;=35,"25-35",
A68&lt;=45,"36-45",
TRUE,"45+"
)</f>
        <v>36-45</v>
      </c>
      <c r="AO68" t="str" cm="1">
        <f t="array" ref="AO68">_xlfn.IFS(S68&lt;5000,"Low",
S68&lt;=15000,"Medium",
TRUE,"High")</f>
        <v>Medium</v>
      </c>
    </row>
    <row r="69" spans="1:41" hidden="1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 t="str">
        <f t="shared" si="3"/>
        <v>Active</v>
      </c>
      <c r="AK69">
        <f t="shared" ca="1" si="4"/>
        <v>2000</v>
      </c>
      <c r="AL69">
        <f t="shared" si="5"/>
        <v>0</v>
      </c>
      <c r="AM69" t="e" cm="1">
        <f t="array" aca="1" ref="AM69" ca="1">IF(B69="Yes",YEAR(TODAY()),BLANK())</f>
        <v>#NAME?</v>
      </c>
      <c r="AN69" t="str" cm="1">
        <f t="array" ref="AN69" xml:space="preserve"> _xlfn.IFS(A69&lt;25,"&lt;25",
A69&lt;=35,"25-35",
A69&lt;=45,"36-45",
TRUE,"45+"
)</f>
        <v>36-45</v>
      </c>
      <c r="AO69" t="str" cm="1">
        <f t="array" ref="AO69">_xlfn.IFS(S69&lt;5000,"Low",
S69&lt;=15000,"Medium",
TRUE,"High")</f>
        <v>Medium</v>
      </c>
    </row>
    <row r="70" spans="1:41" hidden="1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 t="str">
        <f t="shared" si="3"/>
        <v>Active</v>
      </c>
      <c r="AK70">
        <f t="shared" ca="1" si="4"/>
        <v>2020</v>
      </c>
      <c r="AL70">
        <f t="shared" si="5"/>
        <v>0</v>
      </c>
      <c r="AM70" t="e" cm="1">
        <f t="array" aca="1" ref="AM70" ca="1">IF(B70="Yes",YEAR(TODAY()),BLANK())</f>
        <v>#NAME?</v>
      </c>
      <c r="AN70" t="str" cm="1">
        <f t="array" ref="AN70" xml:space="preserve"> _xlfn.IFS(A70&lt;25,"&lt;25",
A70&lt;=35,"25-35",
A70&lt;=45,"36-45",
TRUE,"45+"
)</f>
        <v>25-35</v>
      </c>
      <c r="AO70" t="str" cm="1">
        <f t="array" ref="AO70">_xlfn.IFS(S70&lt;5000,"Low",
S70&lt;=15000,"Medium",
TRUE,"High")</f>
        <v>Low</v>
      </c>
    </row>
    <row r="71" spans="1:41" hidden="1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 t="str">
        <f t="shared" si="3"/>
        <v>Resigned</v>
      </c>
      <c r="AK71">
        <f t="shared" ca="1" si="4"/>
        <v>2023</v>
      </c>
      <c r="AL71">
        <f t="shared" si="5"/>
        <v>1</v>
      </c>
      <c r="AM71" cm="1">
        <f t="array" aca="1" ref="AM71" ca="1">IF(B71="Yes",YEAR(TODAY()),BLANK())</f>
        <v>2025</v>
      </c>
      <c r="AN71" t="str" cm="1">
        <f t="array" ref="AN71" xml:space="preserve"> _xlfn.IFS(A71&lt;25,"&lt;25",
A71&lt;=35,"25-35",
A71&lt;=45,"36-45",
TRUE,"45+"
)</f>
        <v>36-45</v>
      </c>
      <c r="AO71" t="str" cm="1">
        <f t="array" ref="AO71">_xlfn.IFS(S71&lt;5000,"Low",
S71&lt;=15000,"Medium",
TRUE,"High")</f>
        <v>Low</v>
      </c>
    </row>
    <row r="72" spans="1:41" hidden="1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 t="str">
        <f t="shared" si="3"/>
        <v>Active</v>
      </c>
      <c r="AK72">
        <f t="shared" ca="1" si="4"/>
        <v>2005</v>
      </c>
      <c r="AL72">
        <f t="shared" si="5"/>
        <v>0</v>
      </c>
      <c r="AM72" t="e" cm="1">
        <f t="array" aca="1" ref="AM72" ca="1">IF(B72="Yes",YEAR(TODAY()),BLANK())</f>
        <v>#NAME?</v>
      </c>
      <c r="AN72" t="str" cm="1">
        <f t="array" ref="AN72" xml:space="preserve"> _xlfn.IFS(A72&lt;25,"&lt;25",
A72&lt;=35,"25-35",
A72&lt;=45,"36-45",
TRUE,"45+"
)</f>
        <v>45+</v>
      </c>
      <c r="AO72" t="str" cm="1">
        <f t="array" ref="AO72">_xlfn.IFS(S72&lt;5000,"Low",
S72&lt;=15000,"Medium",
TRUE,"High")</f>
        <v>Medium</v>
      </c>
    </row>
    <row r="73" spans="1:41" hidden="1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 t="str">
        <f t="shared" si="3"/>
        <v>Active</v>
      </c>
      <c r="AK73">
        <f t="shared" ca="1" si="4"/>
        <v>2019</v>
      </c>
      <c r="AL73">
        <f t="shared" si="5"/>
        <v>0</v>
      </c>
      <c r="AM73" t="e" cm="1">
        <f t="array" aca="1" ref="AM73" ca="1">IF(B73="Yes",YEAR(TODAY()),BLANK())</f>
        <v>#NAME?</v>
      </c>
      <c r="AN73" t="str" cm="1">
        <f t="array" ref="AN73" xml:space="preserve"> _xlfn.IFS(A73&lt;25,"&lt;25",
A73&lt;=35,"25-35",
A73&lt;=45,"36-45",
TRUE,"45+"
)</f>
        <v>25-35</v>
      </c>
      <c r="AO73" t="str" cm="1">
        <f t="array" ref="AO73">_xlfn.IFS(S73&lt;5000,"Low",
S73&lt;=15000,"Medium",
TRUE,"High")</f>
        <v>Low</v>
      </c>
    </row>
    <row r="74" spans="1:41" hidden="1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 t="str">
        <f t="shared" si="3"/>
        <v>Active</v>
      </c>
      <c r="AK74">
        <f t="shared" ca="1" si="4"/>
        <v>2024</v>
      </c>
      <c r="AL74">
        <f t="shared" si="5"/>
        <v>0</v>
      </c>
      <c r="AM74" t="e" cm="1">
        <f t="array" aca="1" ref="AM74" ca="1">IF(B74="Yes",YEAR(TODAY()),BLANK())</f>
        <v>#NAME?</v>
      </c>
      <c r="AN74" t="str" cm="1">
        <f t="array" ref="AN74" xml:space="preserve"> _xlfn.IFS(A74&lt;25,"&lt;25",
A74&lt;=35,"25-35",
A74&lt;=45,"36-45",
TRUE,"45+"
)</f>
        <v>25-35</v>
      </c>
      <c r="AO74" t="str" cm="1">
        <f t="array" ref="AO74">_xlfn.IFS(S74&lt;5000,"Low",
S74&lt;=15000,"Medium",
TRUE,"High")</f>
        <v>Low</v>
      </c>
    </row>
    <row r="75" spans="1:41" hidden="1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 t="str">
        <f t="shared" si="3"/>
        <v>Active</v>
      </c>
      <c r="AK75">
        <f t="shared" ca="1" si="4"/>
        <v>2015</v>
      </c>
      <c r="AL75">
        <f t="shared" si="5"/>
        <v>0</v>
      </c>
      <c r="AM75" t="e" cm="1">
        <f t="array" aca="1" ref="AM75" ca="1">IF(B75="Yes",YEAR(TODAY()),BLANK())</f>
        <v>#NAME?</v>
      </c>
      <c r="AN75" t="str" cm="1">
        <f t="array" ref="AN75" xml:space="preserve"> _xlfn.IFS(A75&lt;25,"&lt;25",
A75&lt;=35,"25-35",
A75&lt;=45,"36-45",
TRUE,"45+"
)</f>
        <v>25-35</v>
      </c>
      <c r="AO75" t="str" cm="1">
        <f t="array" ref="AO75">_xlfn.IFS(S75&lt;5000,"Low",
S75&lt;=15000,"Medium",
TRUE,"High")</f>
        <v>Medium</v>
      </c>
    </row>
    <row r="76" spans="1:41" hidden="1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 t="str">
        <f t="shared" si="3"/>
        <v>Active</v>
      </c>
      <c r="AK76">
        <f t="shared" ca="1" si="4"/>
        <v>2020</v>
      </c>
      <c r="AL76">
        <f t="shared" si="5"/>
        <v>0</v>
      </c>
      <c r="AM76" t="e" cm="1">
        <f t="array" aca="1" ref="AM76" ca="1">IF(B76="Yes",YEAR(TODAY()),BLANK())</f>
        <v>#NAME?</v>
      </c>
      <c r="AN76" t="str" cm="1">
        <f t="array" ref="AN76" xml:space="preserve"> _xlfn.IFS(A76&lt;25,"&lt;25",
A76&lt;=35,"25-35",
A76&lt;=45,"36-45",
TRUE,"45+"
)</f>
        <v>36-45</v>
      </c>
      <c r="AO76" t="str" cm="1">
        <f t="array" ref="AO76">_xlfn.IFS(S76&lt;5000,"Low",
S76&lt;=15000,"Medium",
TRUE,"High")</f>
        <v>Low</v>
      </c>
    </row>
    <row r="77" spans="1:41" hidden="1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 t="str">
        <f t="shared" si="3"/>
        <v>Active</v>
      </c>
      <c r="AK77">
        <f t="shared" ca="1" si="4"/>
        <v>2014</v>
      </c>
      <c r="AL77">
        <f t="shared" si="5"/>
        <v>0</v>
      </c>
      <c r="AM77" t="e" cm="1">
        <f t="array" aca="1" ref="AM77" ca="1">IF(B77="Yes",YEAR(TODAY()),BLANK())</f>
        <v>#NAME?</v>
      </c>
      <c r="AN77" t="str" cm="1">
        <f t="array" ref="AN77" xml:space="preserve"> _xlfn.IFS(A77&lt;25,"&lt;25",
A77&lt;=35,"25-35",
A77&lt;=45,"36-45",
TRUE,"45+"
)</f>
        <v>25-35</v>
      </c>
      <c r="AO77" t="str" cm="1">
        <f t="array" ref="AO77">_xlfn.IFS(S77&lt;5000,"Low",
S77&lt;=15000,"Medium",
TRUE,"High")</f>
        <v>Low</v>
      </c>
    </row>
    <row r="78" spans="1:41" hidden="1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 t="str">
        <f t="shared" si="3"/>
        <v>Active</v>
      </c>
      <c r="AK78">
        <f t="shared" ca="1" si="4"/>
        <v>2009</v>
      </c>
      <c r="AL78">
        <f t="shared" si="5"/>
        <v>0</v>
      </c>
      <c r="AM78" t="e" cm="1">
        <f t="array" aca="1" ref="AM78" ca="1">IF(B78="Yes",YEAR(TODAY()),BLANK())</f>
        <v>#NAME?</v>
      </c>
      <c r="AN78" t="str" cm="1">
        <f t="array" ref="AN78" xml:space="preserve"> _xlfn.IFS(A78&lt;25,"&lt;25",
A78&lt;=35,"25-35",
A78&lt;=45,"36-45",
TRUE,"45+"
)</f>
        <v>25-35</v>
      </c>
      <c r="AO78" t="str" cm="1">
        <f t="array" ref="AO78">_xlfn.IFS(S78&lt;5000,"Low",
S78&lt;=15000,"Medium",
TRUE,"High")</f>
        <v>Low</v>
      </c>
    </row>
    <row r="79" spans="1:41" hidden="1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 t="str">
        <f t="shared" si="3"/>
        <v>Active</v>
      </c>
      <c r="AK79">
        <f t="shared" ca="1" si="4"/>
        <v>2008</v>
      </c>
      <c r="AL79">
        <f t="shared" si="5"/>
        <v>0</v>
      </c>
      <c r="AM79" t="e" cm="1">
        <f t="array" aca="1" ref="AM79" ca="1">IF(B79="Yes",YEAR(TODAY()),BLANK())</f>
        <v>#NAME?</v>
      </c>
      <c r="AN79" t="str" cm="1">
        <f t="array" ref="AN79" xml:space="preserve"> _xlfn.IFS(A79&lt;25,"&lt;25",
A79&lt;=35,"25-35",
A79&lt;=45,"36-45",
TRUE,"45+"
)</f>
        <v>36-45</v>
      </c>
      <c r="AO79" t="str" cm="1">
        <f t="array" ref="AO79">_xlfn.IFS(S79&lt;5000,"Low",
S79&lt;=15000,"Medium",
TRUE,"High")</f>
        <v>Medium</v>
      </c>
    </row>
    <row r="80" spans="1:41" hidden="1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 t="str">
        <f t="shared" si="3"/>
        <v>Active</v>
      </c>
      <c r="AK80">
        <f t="shared" ca="1" si="4"/>
        <v>2009</v>
      </c>
      <c r="AL80">
        <f t="shared" si="5"/>
        <v>0</v>
      </c>
      <c r="AM80" t="e" cm="1">
        <f t="array" aca="1" ref="AM80" ca="1">IF(B80="Yes",YEAR(TODAY()),BLANK())</f>
        <v>#NAME?</v>
      </c>
      <c r="AN80" t="str" cm="1">
        <f t="array" ref="AN80" xml:space="preserve"> _xlfn.IFS(A80&lt;25,"&lt;25",
A80&lt;=35,"25-35",
A80&lt;=45,"36-45",
TRUE,"45+"
)</f>
        <v>36-45</v>
      </c>
      <c r="AO80" t="str" cm="1">
        <f t="array" ref="AO80">_xlfn.IFS(S80&lt;5000,"Low",
S80&lt;=15000,"Medium",
TRUE,"High")</f>
        <v>Medium</v>
      </c>
    </row>
    <row r="81" spans="1:41" hidden="1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 t="str">
        <f t="shared" si="3"/>
        <v>Active</v>
      </c>
      <c r="AK81">
        <f t="shared" ca="1" si="4"/>
        <v>2009</v>
      </c>
      <c r="AL81">
        <f t="shared" si="5"/>
        <v>0</v>
      </c>
      <c r="AM81" t="e" cm="1">
        <f t="array" aca="1" ref="AM81" ca="1">IF(B81="Yes",YEAR(TODAY()),BLANK())</f>
        <v>#NAME?</v>
      </c>
      <c r="AN81" t="str" cm="1">
        <f t="array" ref="AN81" xml:space="preserve"> _xlfn.IFS(A81&lt;25,"&lt;25",
A81&lt;=35,"25-35",
A81&lt;=45,"36-45",
TRUE,"45+"
)</f>
        <v>45+</v>
      </c>
      <c r="AO81" t="str" cm="1">
        <f t="array" ref="AO81">_xlfn.IFS(S81&lt;5000,"Low",
S81&lt;=15000,"Medium",
TRUE,"High")</f>
        <v>Medium</v>
      </c>
    </row>
    <row r="82" spans="1:41" hidden="1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 t="str">
        <f t="shared" si="3"/>
        <v>Active</v>
      </c>
      <c r="AK82">
        <f t="shared" ca="1" si="4"/>
        <v>2015</v>
      </c>
      <c r="AL82">
        <f t="shared" si="5"/>
        <v>0</v>
      </c>
      <c r="AM82" t="e" cm="1">
        <f t="array" aca="1" ref="AM82" ca="1">IF(B82="Yes",YEAR(TODAY()),BLANK())</f>
        <v>#NAME?</v>
      </c>
      <c r="AN82" t="str" cm="1">
        <f t="array" ref="AN82" xml:space="preserve"> _xlfn.IFS(A82&lt;25,"&lt;25",
A82&lt;=35,"25-35",
A82&lt;=45,"36-45",
TRUE,"45+"
)</f>
        <v>25-35</v>
      </c>
      <c r="AO82" t="str" cm="1">
        <f t="array" ref="AO82">_xlfn.IFS(S82&lt;5000,"Low",
S82&lt;=15000,"Medium",
TRUE,"High")</f>
        <v>Medium</v>
      </c>
    </row>
    <row r="83" spans="1:41" hidden="1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 t="str">
        <f t="shared" si="3"/>
        <v>Active</v>
      </c>
      <c r="AK83">
        <f t="shared" ca="1" si="4"/>
        <v>2019</v>
      </c>
      <c r="AL83">
        <f t="shared" si="5"/>
        <v>0</v>
      </c>
      <c r="AM83" t="e" cm="1">
        <f t="array" aca="1" ref="AM83" ca="1">IF(B83="Yes",YEAR(TODAY()),BLANK())</f>
        <v>#NAME?</v>
      </c>
      <c r="AN83" t="str" cm="1">
        <f t="array" ref="AN83" xml:space="preserve"> _xlfn.IFS(A83&lt;25,"&lt;25",
A83&lt;=35,"25-35",
A83&lt;=45,"36-45",
TRUE,"45+"
)</f>
        <v>25-35</v>
      </c>
      <c r="AO83" t="str" cm="1">
        <f t="array" ref="AO83">_xlfn.IFS(S83&lt;5000,"Low",
S83&lt;=15000,"Medium",
TRUE,"High")</f>
        <v>Low</v>
      </c>
    </row>
    <row r="84" spans="1:41" hidden="1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 t="str">
        <f t="shared" si="3"/>
        <v>Active</v>
      </c>
      <c r="AK84">
        <f t="shared" ca="1" si="4"/>
        <v>2001</v>
      </c>
      <c r="AL84">
        <f t="shared" si="5"/>
        <v>0</v>
      </c>
      <c r="AM84" t="e" cm="1">
        <f t="array" aca="1" ref="AM84" ca="1">IF(B84="Yes",YEAR(TODAY()),BLANK())</f>
        <v>#NAME?</v>
      </c>
      <c r="AN84" t="str" cm="1">
        <f t="array" ref="AN84" xml:space="preserve"> _xlfn.IFS(A84&lt;25,"&lt;25",
A84&lt;=35,"25-35",
A84&lt;=45,"36-45",
TRUE,"45+"
)</f>
        <v>45+</v>
      </c>
      <c r="AO84" t="str" cm="1">
        <f t="array" ref="AO84">_xlfn.IFS(S84&lt;5000,"Low",
S84&lt;=15000,"Medium",
TRUE,"High")</f>
        <v>Medium</v>
      </c>
    </row>
    <row r="85" spans="1:41" hidden="1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 t="str">
        <f t="shared" si="3"/>
        <v>Active</v>
      </c>
      <c r="AK85">
        <f t="shared" ca="1" si="4"/>
        <v>2008</v>
      </c>
      <c r="AL85">
        <f t="shared" si="5"/>
        <v>0</v>
      </c>
      <c r="AM85" t="e" cm="1">
        <f t="array" aca="1" ref="AM85" ca="1">IF(B85="Yes",YEAR(TODAY()),BLANK())</f>
        <v>#NAME?</v>
      </c>
      <c r="AN85" t="str" cm="1">
        <f t="array" ref="AN85" xml:space="preserve"> _xlfn.IFS(A85&lt;25,"&lt;25",
A85&lt;=35,"25-35",
A85&lt;=45,"36-45",
TRUE,"45+"
)</f>
        <v>36-45</v>
      </c>
      <c r="AO85" t="str" cm="1">
        <f t="array" ref="AO85">_xlfn.IFS(S85&lt;5000,"Low",
S85&lt;=15000,"Medium",
TRUE,"High")</f>
        <v>Medium</v>
      </c>
    </row>
    <row r="86" spans="1:41" hidden="1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 t="str">
        <f t="shared" si="3"/>
        <v>Active</v>
      </c>
      <c r="AK86">
        <f t="shared" ca="1" si="4"/>
        <v>2020</v>
      </c>
      <c r="AL86">
        <f t="shared" si="5"/>
        <v>0</v>
      </c>
      <c r="AM86" t="e" cm="1">
        <f t="array" aca="1" ref="AM86" ca="1">IF(B86="Yes",YEAR(TODAY()),BLANK())</f>
        <v>#NAME?</v>
      </c>
      <c r="AN86" t="str" cm="1">
        <f t="array" ref="AN86" xml:space="preserve"> _xlfn.IFS(A86&lt;25,"&lt;25",
A86&lt;=35,"25-35",
A86&lt;=45,"36-45",
TRUE,"45+"
)</f>
        <v>25-35</v>
      </c>
      <c r="AO86" t="str" cm="1">
        <f t="array" ref="AO86">_xlfn.IFS(S86&lt;5000,"Low",
S86&lt;=15000,"Medium",
TRUE,"High")</f>
        <v>Low</v>
      </c>
    </row>
    <row r="87" spans="1:41" hidden="1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 t="str">
        <f t="shared" si="3"/>
        <v>Active</v>
      </c>
      <c r="AK87">
        <f t="shared" ca="1" si="4"/>
        <v>1988</v>
      </c>
      <c r="AL87">
        <f t="shared" si="5"/>
        <v>0</v>
      </c>
      <c r="AM87" t="e" cm="1">
        <f t="array" aca="1" ref="AM87" ca="1">IF(B87="Yes",YEAR(TODAY()),BLANK())</f>
        <v>#NAME?</v>
      </c>
      <c r="AN87" t="str" cm="1">
        <f t="array" ref="AN87" xml:space="preserve"> _xlfn.IFS(A87&lt;25,"&lt;25",
A87&lt;=35,"25-35",
A87&lt;=45,"36-45",
TRUE,"45+"
)</f>
        <v>45+</v>
      </c>
      <c r="AO87" t="str" cm="1">
        <f t="array" ref="AO87">_xlfn.IFS(S87&lt;5000,"Low",
S87&lt;=15000,"Medium",
TRUE,"High")</f>
        <v>Medium</v>
      </c>
    </row>
    <row r="88" spans="1:41" hidden="1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 t="str">
        <f t="shared" si="3"/>
        <v>Active</v>
      </c>
      <c r="AK88">
        <f t="shared" ca="1" si="4"/>
        <v>2022</v>
      </c>
      <c r="AL88">
        <f t="shared" si="5"/>
        <v>0</v>
      </c>
      <c r="AM88" t="e" cm="1">
        <f t="array" aca="1" ref="AM88" ca="1">IF(B88="Yes",YEAR(TODAY()),BLANK())</f>
        <v>#NAME?</v>
      </c>
      <c r="AN88" t="str" cm="1">
        <f t="array" ref="AN88" xml:space="preserve"> _xlfn.IFS(A88&lt;25,"&lt;25",
A88&lt;=35,"25-35",
A88&lt;=45,"36-45",
TRUE,"45+"
)</f>
        <v>&lt;25</v>
      </c>
      <c r="AO88" t="str" cm="1">
        <f t="array" ref="AO88">_xlfn.IFS(S88&lt;5000,"Low",
S88&lt;=15000,"Medium",
TRUE,"High")</f>
        <v>Low</v>
      </c>
    </row>
    <row r="89" spans="1:41" hidden="1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 t="str">
        <f t="shared" si="3"/>
        <v>Active</v>
      </c>
      <c r="AK89">
        <f t="shared" ca="1" si="4"/>
        <v>2015</v>
      </c>
      <c r="AL89">
        <f t="shared" si="5"/>
        <v>0</v>
      </c>
      <c r="AM89" t="e" cm="1">
        <f t="array" aca="1" ref="AM89" ca="1">IF(B89="Yes",YEAR(TODAY()),BLANK())</f>
        <v>#NAME?</v>
      </c>
      <c r="AN89" t="str" cm="1">
        <f t="array" ref="AN89" xml:space="preserve"> _xlfn.IFS(A89&lt;25,"&lt;25",
A89&lt;=35,"25-35",
A89&lt;=45,"36-45",
TRUE,"45+"
)</f>
        <v>45+</v>
      </c>
      <c r="AO89" t="str" cm="1">
        <f t="array" ref="AO89">_xlfn.IFS(S89&lt;5000,"Low",
S89&lt;=15000,"Medium",
TRUE,"High")</f>
        <v>Low</v>
      </c>
    </row>
    <row r="90" spans="1:41" hidden="1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 t="str">
        <f t="shared" si="3"/>
        <v>Active</v>
      </c>
      <c r="AK90">
        <f t="shared" ca="1" si="4"/>
        <v>2014</v>
      </c>
      <c r="AL90">
        <f t="shared" si="5"/>
        <v>0</v>
      </c>
      <c r="AM90" t="e" cm="1">
        <f t="array" aca="1" ref="AM90" ca="1">IF(B90="Yes",YEAR(TODAY()),BLANK())</f>
        <v>#NAME?</v>
      </c>
      <c r="AN90" t="str" cm="1">
        <f t="array" ref="AN90" xml:space="preserve"> _xlfn.IFS(A90&lt;25,"&lt;25",
A90&lt;=35,"25-35",
A90&lt;=45,"36-45",
TRUE,"45+"
)</f>
        <v>25-35</v>
      </c>
      <c r="AO90" t="str" cm="1">
        <f t="array" ref="AO90">_xlfn.IFS(S90&lt;5000,"Low",
S90&lt;=15000,"Medium",
TRUE,"High")</f>
        <v>Low</v>
      </c>
    </row>
    <row r="91" spans="1:41" hidden="1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 t="str">
        <f t="shared" si="3"/>
        <v>Resigned</v>
      </c>
      <c r="AK91">
        <f t="shared" ca="1" si="4"/>
        <v>2016</v>
      </c>
      <c r="AL91">
        <f t="shared" si="5"/>
        <v>1</v>
      </c>
      <c r="AM91" cm="1">
        <f t="array" aca="1" ref="AM91" ca="1">IF(B91="Yes",YEAR(TODAY()),BLANK())</f>
        <v>2025</v>
      </c>
      <c r="AN91" t="str" cm="1">
        <f t="array" ref="AN91" xml:space="preserve"> _xlfn.IFS(A91&lt;25,"&lt;25",
A91&lt;=35,"25-35",
A91&lt;=45,"36-45",
TRUE,"45+"
)</f>
        <v>45+</v>
      </c>
      <c r="AO91" t="str" cm="1">
        <f t="array" ref="AO91">_xlfn.IFS(S91&lt;5000,"Low",
S91&lt;=15000,"Medium",
TRUE,"High")</f>
        <v>Medium</v>
      </c>
    </row>
    <row r="92" spans="1:41" hidden="1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 t="str">
        <f t="shared" si="3"/>
        <v>Active</v>
      </c>
      <c r="AK92">
        <f t="shared" ca="1" si="4"/>
        <v>2003</v>
      </c>
      <c r="AL92">
        <f t="shared" si="5"/>
        <v>0</v>
      </c>
      <c r="AM92" t="e" cm="1">
        <f t="array" aca="1" ref="AM92" ca="1">IF(B92="Yes",YEAR(TODAY()),BLANK())</f>
        <v>#NAME?</v>
      </c>
      <c r="AN92" t="str" cm="1">
        <f t="array" ref="AN92" xml:space="preserve"> _xlfn.IFS(A92&lt;25,"&lt;25",
A92&lt;=35,"25-35",
A92&lt;=45,"36-45",
TRUE,"45+"
)</f>
        <v>36-45</v>
      </c>
      <c r="AO92" t="str" cm="1">
        <f t="array" ref="AO92">_xlfn.IFS(S92&lt;5000,"Low",
S92&lt;=15000,"Medium",
TRUE,"High")</f>
        <v>Medium</v>
      </c>
    </row>
    <row r="93" spans="1:41" hidden="1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 t="str">
        <f t="shared" si="3"/>
        <v>Active</v>
      </c>
      <c r="AK93">
        <f t="shared" ca="1" si="4"/>
        <v>2014</v>
      </c>
      <c r="AL93">
        <f t="shared" si="5"/>
        <v>0</v>
      </c>
      <c r="AM93" t="e" cm="1">
        <f t="array" aca="1" ref="AM93" ca="1">IF(B93="Yes",YEAR(TODAY()),BLANK())</f>
        <v>#NAME?</v>
      </c>
      <c r="AN93" t="str" cm="1">
        <f t="array" ref="AN93" xml:space="preserve"> _xlfn.IFS(A93&lt;25,"&lt;25",
A93&lt;=35,"25-35",
A93&lt;=45,"36-45",
TRUE,"45+"
)</f>
        <v>45+</v>
      </c>
      <c r="AO93" t="str" cm="1">
        <f t="array" ref="AO93">_xlfn.IFS(S93&lt;5000,"Low",
S93&lt;=15000,"Medium",
TRUE,"High")</f>
        <v>Medium</v>
      </c>
    </row>
    <row r="94" spans="1:41" hidden="1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 t="str">
        <f t="shared" si="3"/>
        <v>Active</v>
      </c>
      <c r="AK94">
        <f t="shared" ca="1" si="4"/>
        <v>2014</v>
      </c>
      <c r="AL94">
        <f t="shared" si="5"/>
        <v>0</v>
      </c>
      <c r="AM94" t="e" cm="1">
        <f t="array" aca="1" ref="AM94" ca="1">IF(B94="Yes",YEAR(TODAY()),BLANK())</f>
        <v>#NAME?</v>
      </c>
      <c r="AN94" t="str" cm="1">
        <f t="array" ref="AN94" xml:space="preserve"> _xlfn.IFS(A94&lt;25,"&lt;25",
A94&lt;=35,"25-35",
A94&lt;=45,"36-45",
TRUE,"45+"
)</f>
        <v>25-35</v>
      </c>
      <c r="AO94" t="str" cm="1">
        <f t="array" ref="AO94">_xlfn.IFS(S94&lt;5000,"Low",
S94&lt;=15000,"Medium",
TRUE,"High")</f>
        <v>Medium</v>
      </c>
    </row>
    <row r="95" spans="1:41" hidden="1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 t="str">
        <f t="shared" si="3"/>
        <v>Active</v>
      </c>
      <c r="AK95">
        <f t="shared" ca="1" si="4"/>
        <v>2004</v>
      </c>
      <c r="AL95">
        <f t="shared" si="5"/>
        <v>0</v>
      </c>
      <c r="AM95" t="e" cm="1">
        <f t="array" aca="1" ref="AM95" ca="1">IF(B95="Yes",YEAR(TODAY()),BLANK())</f>
        <v>#NAME?</v>
      </c>
      <c r="AN95" t="str" cm="1">
        <f t="array" ref="AN95" xml:space="preserve"> _xlfn.IFS(A95&lt;25,"&lt;25",
A95&lt;=35,"25-35",
A95&lt;=45,"36-45",
TRUE,"45+"
)</f>
        <v>45+</v>
      </c>
      <c r="AO95" t="str" cm="1">
        <f t="array" ref="AO95">_xlfn.IFS(S95&lt;5000,"Low",
S95&lt;=15000,"Medium",
TRUE,"High")</f>
        <v>Medium</v>
      </c>
    </row>
    <row r="96" spans="1:41" hidden="1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 t="str">
        <f t="shared" si="3"/>
        <v>Active</v>
      </c>
      <c r="AK96">
        <f t="shared" ca="1" si="4"/>
        <v>2013</v>
      </c>
      <c r="AL96">
        <f t="shared" si="5"/>
        <v>0</v>
      </c>
      <c r="AM96" t="e" cm="1">
        <f t="array" aca="1" ref="AM96" ca="1">IF(B96="Yes",YEAR(TODAY()),BLANK())</f>
        <v>#NAME?</v>
      </c>
      <c r="AN96" t="str" cm="1">
        <f t="array" ref="AN96" xml:space="preserve"> _xlfn.IFS(A96&lt;25,"&lt;25",
A96&lt;=35,"25-35",
A96&lt;=45,"36-45",
TRUE,"45+"
)</f>
        <v>25-35</v>
      </c>
      <c r="AO96" t="str" cm="1">
        <f t="array" ref="AO96">_xlfn.IFS(S96&lt;5000,"Low",
S96&lt;=15000,"Medium",
TRUE,"High")</f>
        <v>Medium</v>
      </c>
    </row>
    <row r="97" spans="1:41" hidden="1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 t="str">
        <f t="shared" si="3"/>
        <v>Active</v>
      </c>
      <c r="AK97">
        <f t="shared" ca="1" si="4"/>
        <v>2009</v>
      </c>
      <c r="AL97">
        <f t="shared" si="5"/>
        <v>0</v>
      </c>
      <c r="AM97" t="e" cm="1">
        <f t="array" aca="1" ref="AM97" ca="1">IF(B97="Yes",YEAR(TODAY()),BLANK())</f>
        <v>#NAME?</v>
      </c>
      <c r="AN97" t="str" cm="1">
        <f t="array" ref="AN97" xml:space="preserve"> _xlfn.IFS(A97&lt;25,"&lt;25",
A97&lt;=35,"25-35",
A97&lt;=45,"36-45",
TRUE,"45+"
)</f>
        <v>45+</v>
      </c>
      <c r="AO97" t="str" cm="1">
        <f t="array" ref="AO97">_xlfn.IFS(S97&lt;5000,"Low",
S97&lt;=15000,"Medium",
TRUE,"High")</f>
        <v>Medium</v>
      </c>
    </row>
    <row r="98" spans="1:41" hidden="1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 t="str">
        <f t="shared" si="3"/>
        <v>Active</v>
      </c>
      <c r="AK98">
        <f t="shared" ca="1" si="4"/>
        <v>2021</v>
      </c>
      <c r="AL98">
        <f t="shared" si="5"/>
        <v>0</v>
      </c>
      <c r="AM98" t="e" cm="1">
        <f t="array" aca="1" ref="AM98" ca="1">IF(B98="Yes",YEAR(TODAY()),BLANK())</f>
        <v>#NAME?</v>
      </c>
      <c r="AN98" t="str" cm="1">
        <f t="array" ref="AN98" xml:space="preserve"> _xlfn.IFS(A98&lt;25,"&lt;25",
A98&lt;=35,"25-35",
A98&lt;=45,"36-45",
TRUE,"45+"
)</f>
        <v>&lt;25</v>
      </c>
      <c r="AO98" t="str" cm="1">
        <f t="array" ref="AO98">_xlfn.IFS(S98&lt;5000,"Low",
S98&lt;=15000,"Medium",
TRUE,"High")</f>
        <v>Low</v>
      </c>
    </row>
    <row r="99" spans="1:41" hidden="1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 t="str">
        <f t="shared" si="3"/>
        <v>Active</v>
      </c>
      <c r="AK99">
        <f t="shared" ca="1" si="4"/>
        <v>2020</v>
      </c>
      <c r="AL99">
        <f t="shared" si="5"/>
        <v>0</v>
      </c>
      <c r="AM99" t="e" cm="1">
        <f t="array" aca="1" ref="AM99" ca="1">IF(B99="Yes",YEAR(TODAY()),BLANK())</f>
        <v>#NAME?</v>
      </c>
      <c r="AN99" t="str" cm="1">
        <f t="array" ref="AN99" xml:space="preserve"> _xlfn.IFS(A99&lt;25,"&lt;25",
A99&lt;=35,"25-35",
A99&lt;=45,"36-45",
TRUE,"45+"
)</f>
        <v>25-35</v>
      </c>
      <c r="AO99" t="str" cm="1">
        <f t="array" ref="AO99">_xlfn.IFS(S99&lt;5000,"Low",
S99&lt;=15000,"Medium",
TRUE,"High")</f>
        <v>Low</v>
      </c>
    </row>
    <row r="100" spans="1:41" hidden="1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 t="str">
        <f t="shared" si="3"/>
        <v>Active</v>
      </c>
      <c r="AK100">
        <f t="shared" ca="1" si="4"/>
        <v>1987</v>
      </c>
      <c r="AL100">
        <f t="shared" si="5"/>
        <v>0</v>
      </c>
      <c r="AM100" t="e" cm="1">
        <f t="array" aca="1" ref="AM100" ca="1">IF(B100="Yes",YEAR(TODAY()),BLANK())</f>
        <v>#NAME?</v>
      </c>
      <c r="AN100" t="str" cm="1">
        <f t="array" ref="AN100" xml:space="preserve"> _xlfn.IFS(A100&lt;25,"&lt;25",
A100&lt;=35,"25-35",
A100&lt;=45,"36-45",
TRUE,"45+"
)</f>
        <v>45+</v>
      </c>
      <c r="AO100" t="str" cm="1">
        <f t="array" ref="AO100">_xlfn.IFS(S100&lt;5000,"Low",
S100&lt;=15000,"Medium",
TRUE,"High")</f>
        <v>Medium</v>
      </c>
    </row>
    <row r="101" spans="1:41" hidden="1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 t="str">
        <f t="shared" si="3"/>
        <v>Active</v>
      </c>
      <c r="AK101">
        <f t="shared" ca="1" si="4"/>
        <v>2008</v>
      </c>
      <c r="AL101">
        <f t="shared" si="5"/>
        <v>0</v>
      </c>
      <c r="AM101" t="e" cm="1">
        <f t="array" aca="1" ref="AM101" ca="1">IF(B101="Yes",YEAR(TODAY()),BLANK())</f>
        <v>#NAME?</v>
      </c>
      <c r="AN101" t="str" cm="1">
        <f t="array" ref="AN101" xml:space="preserve"> _xlfn.IFS(A101&lt;25,"&lt;25",
A101&lt;=35,"25-35",
A101&lt;=45,"36-45",
TRUE,"45+"
)</f>
        <v>36-45</v>
      </c>
      <c r="AO101" t="str" cm="1">
        <f t="array" ref="AO101">_xlfn.IFS(S101&lt;5000,"Low",
S101&lt;=15000,"Medium",
TRUE,"High")</f>
        <v>Low</v>
      </c>
    </row>
    <row r="102" spans="1:41" hidden="1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 t="str">
        <f t="shared" si="3"/>
        <v>Resigned</v>
      </c>
      <c r="AK102">
        <f t="shared" ca="1" si="4"/>
        <v>2018</v>
      </c>
      <c r="AL102">
        <f t="shared" si="5"/>
        <v>1</v>
      </c>
      <c r="AM102" cm="1">
        <f t="array" aca="1" ref="AM102" ca="1">IF(B102="Yes",YEAR(TODAY()),BLANK())</f>
        <v>2025</v>
      </c>
      <c r="AN102" t="str" cm="1">
        <f t="array" ref="AN102" xml:space="preserve"> _xlfn.IFS(A102&lt;25,"&lt;25",
A102&lt;=35,"25-35",
A102&lt;=45,"36-45",
TRUE,"45+"
)</f>
        <v>36-45</v>
      </c>
      <c r="AO102" t="str" cm="1">
        <f t="array" ref="AO102">_xlfn.IFS(S102&lt;5000,"Low",
S102&lt;=15000,"Medium",
TRUE,"High")</f>
        <v>Low</v>
      </c>
    </row>
    <row r="103" spans="1:41" hidden="1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 t="str">
        <f t="shared" si="3"/>
        <v>Active</v>
      </c>
      <c r="AK103">
        <f t="shared" ca="1" si="4"/>
        <v>2024</v>
      </c>
      <c r="AL103">
        <f t="shared" si="5"/>
        <v>0</v>
      </c>
      <c r="AM103" t="e" cm="1">
        <f t="array" aca="1" ref="AM103" ca="1">IF(B103="Yes",YEAR(TODAY()),BLANK())</f>
        <v>#NAME?</v>
      </c>
      <c r="AN103" t="str" cm="1">
        <f t="array" ref="AN103" xml:space="preserve"> _xlfn.IFS(A103&lt;25,"&lt;25",
A103&lt;=35,"25-35",
A103&lt;=45,"36-45",
TRUE,"45+"
)</f>
        <v>25-35</v>
      </c>
      <c r="AO103" t="str" cm="1">
        <f t="array" ref="AO103">_xlfn.IFS(S103&lt;5000,"Low",
S103&lt;=15000,"Medium",
TRUE,"High")</f>
        <v>Low</v>
      </c>
    </row>
    <row r="104" spans="1:41" hidden="1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 t="str">
        <f t="shared" si="3"/>
        <v>Resigned</v>
      </c>
      <c r="AK104">
        <f t="shared" ca="1" si="4"/>
        <v>2024</v>
      </c>
      <c r="AL104">
        <f t="shared" si="5"/>
        <v>1</v>
      </c>
      <c r="AM104" cm="1">
        <f t="array" aca="1" ref="AM104" ca="1">IF(B104="Yes",YEAR(TODAY()),BLANK())</f>
        <v>2025</v>
      </c>
      <c r="AN104" t="str" cm="1">
        <f t="array" ref="AN104" xml:space="preserve"> _xlfn.IFS(A104&lt;25,"&lt;25",
A104&lt;=35,"25-35",
A104&lt;=45,"36-45",
TRUE,"45+"
)</f>
        <v>&lt;25</v>
      </c>
      <c r="AO104" t="str" cm="1">
        <f t="array" ref="AO104">_xlfn.IFS(S104&lt;5000,"Low",
S104&lt;=15000,"Medium",
TRUE,"High")</f>
        <v>Low</v>
      </c>
    </row>
    <row r="105" spans="1:41" hidden="1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 t="str">
        <f t="shared" si="3"/>
        <v>Active</v>
      </c>
      <c r="AK105">
        <f t="shared" ca="1" si="4"/>
        <v>2009</v>
      </c>
      <c r="AL105">
        <f t="shared" si="5"/>
        <v>0</v>
      </c>
      <c r="AM105" t="e" cm="1">
        <f t="array" aca="1" ref="AM105" ca="1">IF(B105="Yes",YEAR(TODAY()),BLANK())</f>
        <v>#NAME?</v>
      </c>
      <c r="AN105" t="str" cm="1">
        <f t="array" ref="AN105" xml:space="preserve"> _xlfn.IFS(A105&lt;25,"&lt;25",
A105&lt;=35,"25-35",
A105&lt;=45,"36-45",
TRUE,"45+"
)</f>
        <v>25-35</v>
      </c>
      <c r="AO105" t="str" cm="1">
        <f t="array" ref="AO105">_xlfn.IFS(S105&lt;5000,"Low",
S105&lt;=15000,"Medium",
TRUE,"High")</f>
        <v>Low</v>
      </c>
    </row>
    <row r="106" spans="1:41" hidden="1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 t="str">
        <f t="shared" si="3"/>
        <v>Active</v>
      </c>
      <c r="AK106">
        <f t="shared" ca="1" si="4"/>
        <v>2008</v>
      </c>
      <c r="AL106">
        <f t="shared" si="5"/>
        <v>0</v>
      </c>
      <c r="AM106" t="e" cm="1">
        <f t="array" aca="1" ref="AM106" ca="1">IF(B106="Yes",YEAR(TODAY()),BLANK())</f>
        <v>#NAME?</v>
      </c>
      <c r="AN106" t="str" cm="1">
        <f t="array" ref="AN106" xml:space="preserve"> _xlfn.IFS(A106&lt;25,"&lt;25",
A106&lt;=35,"25-35",
A106&lt;=45,"36-45",
TRUE,"45+"
)</f>
        <v>36-45</v>
      </c>
      <c r="AO106" t="str" cm="1">
        <f t="array" ref="AO106">_xlfn.IFS(S106&lt;5000,"Low",
S106&lt;=15000,"Medium",
TRUE,"High")</f>
        <v>Medium</v>
      </c>
    </row>
    <row r="107" spans="1:41" hidden="1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 t="str">
        <f t="shared" si="3"/>
        <v>Active</v>
      </c>
      <c r="AK107">
        <f t="shared" ca="1" si="4"/>
        <v>1995</v>
      </c>
      <c r="AL107">
        <f t="shared" si="5"/>
        <v>0</v>
      </c>
      <c r="AM107" t="e" cm="1">
        <f t="array" aca="1" ref="AM107" ca="1">IF(B107="Yes",YEAR(TODAY()),BLANK())</f>
        <v>#NAME?</v>
      </c>
      <c r="AN107" t="str" cm="1">
        <f t="array" ref="AN107" xml:space="preserve"> _xlfn.IFS(A107&lt;25,"&lt;25",
A107&lt;=35,"25-35",
A107&lt;=45,"36-45",
TRUE,"45+"
)</f>
        <v>45+</v>
      </c>
      <c r="AO107" t="str" cm="1">
        <f t="array" ref="AO107">_xlfn.IFS(S107&lt;5000,"Low",
S107&lt;=15000,"Medium",
TRUE,"High")</f>
        <v>High</v>
      </c>
    </row>
    <row r="108" spans="1:41" hidden="1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 t="str">
        <f t="shared" si="3"/>
        <v>Active</v>
      </c>
      <c r="AK108">
        <f t="shared" ca="1" si="4"/>
        <v>1997</v>
      </c>
      <c r="AL108">
        <f t="shared" si="5"/>
        <v>0</v>
      </c>
      <c r="AM108" t="e" cm="1">
        <f t="array" aca="1" ref="AM108" ca="1">IF(B108="Yes",YEAR(TODAY()),BLANK())</f>
        <v>#NAME?</v>
      </c>
      <c r="AN108" t="str" cm="1">
        <f t="array" ref="AN108" xml:space="preserve"> _xlfn.IFS(A108&lt;25,"&lt;25",
A108&lt;=35,"25-35",
A108&lt;=45,"36-45",
TRUE,"45+"
)</f>
        <v>45+</v>
      </c>
      <c r="AO108" t="str" cm="1">
        <f t="array" ref="AO108">_xlfn.IFS(S108&lt;5000,"Low",
S108&lt;=15000,"Medium",
TRUE,"High")</f>
        <v>High</v>
      </c>
    </row>
    <row r="109" spans="1:41" hidden="1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 t="str">
        <f t="shared" si="3"/>
        <v>Resigned</v>
      </c>
      <c r="AK109">
        <f t="shared" ca="1" si="4"/>
        <v>2019</v>
      </c>
      <c r="AL109">
        <f t="shared" si="5"/>
        <v>1</v>
      </c>
      <c r="AM109" cm="1">
        <f t="array" aca="1" ref="AM109" ca="1">IF(B109="Yes",YEAR(TODAY()),BLANK())</f>
        <v>2025</v>
      </c>
      <c r="AN109" t="str" cm="1">
        <f t="array" ref="AN109" xml:space="preserve"> _xlfn.IFS(A109&lt;25,"&lt;25",
A109&lt;=35,"25-35",
A109&lt;=45,"36-45",
TRUE,"45+"
)</f>
        <v>25-35</v>
      </c>
      <c r="AO109" t="str" cm="1">
        <f t="array" ref="AO109">_xlfn.IFS(S109&lt;5000,"Low",
S109&lt;=15000,"Medium",
TRUE,"High")</f>
        <v>Medium</v>
      </c>
    </row>
    <row r="110" spans="1:41" hidden="1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 t="str">
        <f t="shared" si="3"/>
        <v>Active</v>
      </c>
      <c r="AK110">
        <f t="shared" ca="1" si="4"/>
        <v>2023</v>
      </c>
      <c r="AL110">
        <f t="shared" si="5"/>
        <v>0</v>
      </c>
      <c r="AM110" t="e" cm="1">
        <f t="array" aca="1" ref="AM110" ca="1">IF(B110="Yes",YEAR(TODAY()),BLANK())</f>
        <v>#NAME?</v>
      </c>
      <c r="AN110" t="str" cm="1">
        <f t="array" ref="AN110" xml:space="preserve"> _xlfn.IFS(A110&lt;25,"&lt;25",
A110&lt;=35,"25-35",
A110&lt;=45,"36-45",
TRUE,"45+"
)</f>
        <v>25-35</v>
      </c>
      <c r="AO110" t="str" cm="1">
        <f t="array" ref="AO110">_xlfn.IFS(S110&lt;5000,"Low",
S110&lt;=15000,"Medium",
TRUE,"High")</f>
        <v>Low</v>
      </c>
    </row>
    <row r="111" spans="1:41" hidden="1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 t="str">
        <f t="shared" si="3"/>
        <v>Active</v>
      </c>
      <c r="AK111">
        <f t="shared" ca="1" si="4"/>
        <v>2024</v>
      </c>
      <c r="AL111">
        <f t="shared" si="5"/>
        <v>0</v>
      </c>
      <c r="AM111" t="e" cm="1">
        <f t="array" aca="1" ref="AM111" ca="1">IF(B111="Yes",YEAR(TODAY()),BLANK())</f>
        <v>#NAME?</v>
      </c>
      <c r="AN111" t="str" cm="1">
        <f t="array" ref="AN111" xml:space="preserve"> _xlfn.IFS(A111&lt;25,"&lt;25",
A111&lt;=35,"25-35",
A111&lt;=45,"36-45",
TRUE,"45+"
)</f>
        <v>&lt;25</v>
      </c>
      <c r="AO111" t="str" cm="1">
        <f t="array" ref="AO111">_xlfn.IFS(S111&lt;5000,"Low",
S111&lt;=15000,"Medium",
TRUE,"High")</f>
        <v>Low</v>
      </c>
    </row>
    <row r="112" spans="1:41" hidden="1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 t="str">
        <f t="shared" si="3"/>
        <v>Active</v>
      </c>
      <c r="AK112">
        <f t="shared" ca="1" si="4"/>
        <v>2002</v>
      </c>
      <c r="AL112">
        <f t="shared" si="5"/>
        <v>0</v>
      </c>
      <c r="AM112" t="e" cm="1">
        <f t="array" aca="1" ref="AM112" ca="1">IF(B112="Yes",YEAR(TODAY()),BLANK())</f>
        <v>#NAME?</v>
      </c>
      <c r="AN112" t="str" cm="1">
        <f t="array" ref="AN112" xml:space="preserve"> _xlfn.IFS(A112&lt;25,"&lt;25",
A112&lt;=35,"25-35",
A112&lt;=45,"36-45",
TRUE,"45+"
)</f>
        <v>45+</v>
      </c>
      <c r="AO112" t="str" cm="1">
        <f t="array" ref="AO112">_xlfn.IFS(S112&lt;5000,"Low",
S112&lt;=15000,"Medium",
TRUE,"High")</f>
        <v>Medium</v>
      </c>
    </row>
    <row r="113" spans="1:41" hidden="1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 t="str">
        <f t="shared" si="3"/>
        <v>Resigned</v>
      </c>
      <c r="AK113">
        <f t="shared" ca="1" si="4"/>
        <v>2016</v>
      </c>
      <c r="AL113">
        <f t="shared" si="5"/>
        <v>1</v>
      </c>
      <c r="AM113" cm="1">
        <f t="array" aca="1" ref="AM113" ca="1">IF(B113="Yes",YEAR(TODAY()),BLANK())</f>
        <v>2025</v>
      </c>
      <c r="AN113" t="str" cm="1">
        <f t="array" ref="AN113" xml:space="preserve"> _xlfn.IFS(A113&lt;25,"&lt;25",
A113&lt;=35,"25-35",
A113&lt;=45,"36-45",
TRUE,"45+"
)</f>
        <v>25-35</v>
      </c>
      <c r="AO113" t="str" cm="1">
        <f t="array" ref="AO113">_xlfn.IFS(S113&lt;5000,"Low",
S113&lt;=15000,"Medium",
TRUE,"High")</f>
        <v>Medium</v>
      </c>
    </row>
    <row r="114" spans="1:41" hidden="1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 t="str">
        <f t="shared" si="3"/>
        <v>Active</v>
      </c>
      <c r="AK114">
        <f t="shared" ca="1" si="4"/>
        <v>2002</v>
      </c>
      <c r="AL114">
        <f t="shared" si="5"/>
        <v>0</v>
      </c>
      <c r="AM114" t="e" cm="1">
        <f t="array" aca="1" ref="AM114" ca="1">IF(B114="Yes",YEAR(TODAY()),BLANK())</f>
        <v>#NAME?</v>
      </c>
      <c r="AN114" t="str" cm="1">
        <f t="array" ref="AN114" xml:space="preserve"> _xlfn.IFS(A114&lt;25,"&lt;25",
A114&lt;=35,"25-35",
A114&lt;=45,"36-45",
TRUE,"45+"
)</f>
        <v>45+</v>
      </c>
      <c r="AO114" t="str" cm="1">
        <f t="array" ref="AO114">_xlfn.IFS(S114&lt;5000,"Low",
S114&lt;=15000,"Medium",
TRUE,"High")</f>
        <v>High</v>
      </c>
    </row>
    <row r="115" spans="1:41" hidden="1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 t="str">
        <f t="shared" si="3"/>
        <v>Active</v>
      </c>
      <c r="AK115">
        <f t="shared" ca="1" si="4"/>
        <v>2019</v>
      </c>
      <c r="AL115">
        <f t="shared" si="5"/>
        <v>0</v>
      </c>
      <c r="AM115" t="e" cm="1">
        <f t="array" aca="1" ref="AM115" ca="1">IF(B115="Yes",YEAR(TODAY()),BLANK())</f>
        <v>#NAME?</v>
      </c>
      <c r="AN115" t="str" cm="1">
        <f t="array" ref="AN115" xml:space="preserve"> _xlfn.IFS(A115&lt;25,"&lt;25",
A115&lt;=35,"25-35",
A115&lt;=45,"36-45",
TRUE,"45+"
)</f>
        <v>&lt;25</v>
      </c>
      <c r="AO115" t="str" cm="1">
        <f t="array" ref="AO115">_xlfn.IFS(S115&lt;5000,"Low",
S115&lt;=15000,"Medium",
TRUE,"High")</f>
        <v>Low</v>
      </c>
    </row>
    <row r="116" spans="1:41" hidden="1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 t="str">
        <f t="shared" si="3"/>
        <v>Active</v>
      </c>
      <c r="AK116">
        <f t="shared" ca="1" si="4"/>
        <v>2013</v>
      </c>
      <c r="AL116">
        <f t="shared" si="5"/>
        <v>0</v>
      </c>
      <c r="AM116" t="e" cm="1">
        <f t="array" aca="1" ref="AM116" ca="1">IF(B116="Yes",YEAR(TODAY()),BLANK())</f>
        <v>#NAME?</v>
      </c>
      <c r="AN116" t="str" cm="1">
        <f t="array" ref="AN116" xml:space="preserve"> _xlfn.IFS(A116&lt;25,"&lt;25",
A116&lt;=35,"25-35",
A116&lt;=45,"36-45",
TRUE,"45+"
)</f>
        <v>25-35</v>
      </c>
      <c r="AO116" t="str" cm="1">
        <f t="array" ref="AO116">_xlfn.IFS(S116&lt;5000,"Low",
S116&lt;=15000,"Medium",
TRUE,"High")</f>
        <v>Low</v>
      </c>
    </row>
    <row r="117" spans="1:41" hidden="1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 t="str">
        <f t="shared" si="3"/>
        <v>Active</v>
      </c>
      <c r="AK117">
        <f t="shared" ca="1" si="4"/>
        <v>2013</v>
      </c>
      <c r="AL117">
        <f t="shared" si="5"/>
        <v>0</v>
      </c>
      <c r="AM117" t="e" cm="1">
        <f t="array" aca="1" ref="AM117" ca="1">IF(B117="Yes",YEAR(TODAY()),BLANK())</f>
        <v>#NAME?</v>
      </c>
      <c r="AN117" t="str" cm="1">
        <f t="array" ref="AN117" xml:space="preserve"> _xlfn.IFS(A117&lt;25,"&lt;25",
A117&lt;=35,"25-35",
A117&lt;=45,"36-45",
TRUE,"45+"
)</f>
        <v>36-45</v>
      </c>
      <c r="AO117" t="str" cm="1">
        <f t="array" ref="AO117">_xlfn.IFS(S117&lt;5000,"Low",
S117&lt;=15000,"Medium",
TRUE,"High")</f>
        <v>Medium</v>
      </c>
    </row>
    <row r="118" spans="1:41" hidden="1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 t="str">
        <f t="shared" si="3"/>
        <v>Active</v>
      </c>
      <c r="AK118">
        <f t="shared" ca="1" si="4"/>
        <v>2011</v>
      </c>
      <c r="AL118">
        <f t="shared" si="5"/>
        <v>0</v>
      </c>
      <c r="AM118" t="e" cm="1">
        <f t="array" aca="1" ref="AM118" ca="1">IF(B118="Yes",YEAR(TODAY()),BLANK())</f>
        <v>#NAME?</v>
      </c>
      <c r="AN118" t="str" cm="1">
        <f t="array" ref="AN118" xml:space="preserve"> _xlfn.IFS(A118&lt;25,"&lt;25",
A118&lt;=35,"25-35",
A118&lt;=45,"36-45",
TRUE,"45+"
)</f>
        <v>25-35</v>
      </c>
      <c r="AO118" t="str" cm="1">
        <f t="array" ref="AO118">_xlfn.IFS(S118&lt;5000,"Low",
S118&lt;=15000,"Medium",
TRUE,"High")</f>
        <v>Medium</v>
      </c>
    </row>
    <row r="119" spans="1:41" hidden="1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 t="str">
        <f t="shared" si="3"/>
        <v>Active</v>
      </c>
      <c r="AK119">
        <f t="shared" ca="1" si="4"/>
        <v>2015</v>
      </c>
      <c r="AL119">
        <f t="shared" si="5"/>
        <v>0</v>
      </c>
      <c r="AM119" t="e" cm="1">
        <f t="array" aca="1" ref="AM119" ca="1">IF(B119="Yes",YEAR(TODAY()),BLANK())</f>
        <v>#NAME?</v>
      </c>
      <c r="AN119" t="str" cm="1">
        <f t="array" ref="AN119" xml:space="preserve"> _xlfn.IFS(A119&lt;25,"&lt;25",
A119&lt;=35,"25-35",
A119&lt;=45,"36-45",
TRUE,"45+"
)</f>
        <v>36-45</v>
      </c>
      <c r="AO119" t="str" cm="1">
        <f t="array" ref="AO119">_xlfn.IFS(S119&lt;5000,"Low",
S119&lt;=15000,"Medium",
TRUE,"High")</f>
        <v>Medium</v>
      </c>
    </row>
    <row r="120" spans="1:41" hidden="1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 t="str">
        <f t="shared" si="3"/>
        <v>Active</v>
      </c>
      <c r="AK120">
        <f t="shared" ca="1" si="4"/>
        <v>2018</v>
      </c>
      <c r="AL120">
        <f t="shared" si="5"/>
        <v>0</v>
      </c>
      <c r="AM120" t="e" cm="1">
        <f t="array" aca="1" ref="AM120" ca="1">IF(B120="Yes",YEAR(TODAY()),BLANK())</f>
        <v>#NAME?</v>
      </c>
      <c r="AN120" t="str" cm="1">
        <f t="array" ref="AN120" xml:space="preserve"> _xlfn.IFS(A120&lt;25,"&lt;25",
A120&lt;=35,"25-35",
A120&lt;=45,"36-45",
TRUE,"45+"
)</f>
        <v>36-45</v>
      </c>
      <c r="AO120" t="str" cm="1">
        <f t="array" ref="AO120">_xlfn.IFS(S120&lt;5000,"Low",
S120&lt;=15000,"Medium",
TRUE,"High")</f>
        <v>Low</v>
      </c>
    </row>
    <row r="121" spans="1:41" hidden="1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 t="str">
        <f t="shared" si="3"/>
        <v>Active</v>
      </c>
      <c r="AK121">
        <f t="shared" ca="1" si="4"/>
        <v>2000</v>
      </c>
      <c r="AL121">
        <f t="shared" si="5"/>
        <v>0</v>
      </c>
      <c r="AM121" t="e" cm="1">
        <f t="array" aca="1" ref="AM121" ca="1">IF(B121="Yes",YEAR(TODAY()),BLANK())</f>
        <v>#NAME?</v>
      </c>
      <c r="AN121" t="str" cm="1">
        <f t="array" ref="AN121" xml:space="preserve"> _xlfn.IFS(A121&lt;25,"&lt;25",
A121&lt;=35,"25-35",
A121&lt;=45,"36-45",
TRUE,"45+"
)</f>
        <v>36-45</v>
      </c>
      <c r="AO121" t="str" cm="1">
        <f t="array" ref="AO121">_xlfn.IFS(S121&lt;5000,"Low",
S121&lt;=15000,"Medium",
TRUE,"High")</f>
        <v>High</v>
      </c>
    </row>
    <row r="122" spans="1:41" hidden="1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 t="str">
        <f t="shared" si="3"/>
        <v>Active</v>
      </c>
      <c r="AK122">
        <f t="shared" ca="1" si="4"/>
        <v>2015</v>
      </c>
      <c r="AL122">
        <f t="shared" si="5"/>
        <v>0</v>
      </c>
      <c r="AM122" t="e" cm="1">
        <f t="array" aca="1" ref="AM122" ca="1">IF(B122="Yes",YEAR(TODAY()),BLANK())</f>
        <v>#NAME?</v>
      </c>
      <c r="AN122" t="str" cm="1">
        <f t="array" ref="AN122" xml:space="preserve"> _xlfn.IFS(A122&lt;25,"&lt;25",
A122&lt;=35,"25-35",
A122&lt;=45,"36-45",
TRUE,"45+"
)</f>
        <v>25-35</v>
      </c>
      <c r="AO122" t="str" cm="1">
        <f t="array" ref="AO122">_xlfn.IFS(S122&lt;5000,"Low",
S122&lt;=15000,"Medium",
TRUE,"High")</f>
        <v>Low</v>
      </c>
    </row>
    <row r="123" spans="1:41" hidden="1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 t="str">
        <f t="shared" si="3"/>
        <v>Active</v>
      </c>
      <c r="AK123">
        <f t="shared" ca="1" si="4"/>
        <v>2017</v>
      </c>
      <c r="AL123">
        <f t="shared" si="5"/>
        <v>0</v>
      </c>
      <c r="AM123" t="e" cm="1">
        <f t="array" aca="1" ref="AM123" ca="1">IF(B123="Yes",YEAR(TODAY()),BLANK())</f>
        <v>#NAME?</v>
      </c>
      <c r="AN123" t="str" cm="1">
        <f t="array" ref="AN123" xml:space="preserve"> _xlfn.IFS(A123&lt;25,"&lt;25",
A123&lt;=35,"25-35",
A123&lt;=45,"36-45",
TRUE,"45+"
)</f>
        <v>25-35</v>
      </c>
      <c r="AO123" t="str" cm="1">
        <f t="array" ref="AO123">_xlfn.IFS(S123&lt;5000,"Low",
S123&lt;=15000,"Medium",
TRUE,"High")</f>
        <v>Medium</v>
      </c>
    </row>
    <row r="124" spans="1:41" hidden="1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 t="str">
        <f t="shared" si="3"/>
        <v>Resigned</v>
      </c>
      <c r="AK124">
        <f t="shared" ca="1" si="4"/>
        <v>2018</v>
      </c>
      <c r="AL124">
        <f t="shared" si="5"/>
        <v>1</v>
      </c>
      <c r="AM124" cm="1">
        <f t="array" aca="1" ref="AM124" ca="1">IF(B124="Yes",YEAR(TODAY()),BLANK())</f>
        <v>2025</v>
      </c>
      <c r="AN124" t="str" cm="1">
        <f t="array" ref="AN124" xml:space="preserve"> _xlfn.IFS(A124&lt;25,"&lt;25",
A124&lt;=35,"25-35",
A124&lt;=45,"36-45",
TRUE,"45+"
)</f>
        <v>45+</v>
      </c>
      <c r="AO124" t="str" cm="1">
        <f t="array" ref="AO124">_xlfn.IFS(S124&lt;5000,"Low",
S124&lt;=15000,"Medium",
TRUE,"High")</f>
        <v>Low</v>
      </c>
    </row>
    <row r="125" spans="1:41" hidden="1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 t="str">
        <f t="shared" si="3"/>
        <v>Active</v>
      </c>
      <c r="AK125">
        <f t="shared" ca="1" si="4"/>
        <v>2002</v>
      </c>
      <c r="AL125">
        <f t="shared" si="5"/>
        <v>0</v>
      </c>
      <c r="AM125" t="e" cm="1">
        <f t="array" aca="1" ref="AM125" ca="1">IF(B125="Yes",YEAR(TODAY()),BLANK())</f>
        <v>#NAME?</v>
      </c>
      <c r="AN125" t="str" cm="1">
        <f t="array" ref="AN125" xml:space="preserve"> _xlfn.IFS(A125&lt;25,"&lt;25",
A125&lt;=35,"25-35",
A125&lt;=45,"36-45",
TRUE,"45+"
)</f>
        <v>45+</v>
      </c>
      <c r="AO125" t="str" cm="1">
        <f t="array" ref="AO125">_xlfn.IFS(S125&lt;5000,"Low",
S125&lt;=15000,"Medium",
TRUE,"High")</f>
        <v>High</v>
      </c>
    </row>
    <row r="126" spans="1:41" hidden="1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 t="str">
        <f t="shared" si="3"/>
        <v>Resigned</v>
      </c>
      <c r="AK126">
        <f t="shared" ca="1" si="4"/>
        <v>2013</v>
      </c>
      <c r="AL126">
        <f t="shared" si="5"/>
        <v>1</v>
      </c>
      <c r="AM126" cm="1">
        <f t="array" aca="1" ref="AM126" ca="1">IF(B126="Yes",YEAR(TODAY()),BLANK())</f>
        <v>2025</v>
      </c>
      <c r="AN126" t="str" cm="1">
        <f t="array" ref="AN126" xml:space="preserve"> _xlfn.IFS(A126&lt;25,"&lt;25",
A126&lt;=35,"25-35",
A126&lt;=45,"36-45",
TRUE,"45+"
)</f>
        <v>25-35</v>
      </c>
      <c r="AO126" t="str" cm="1">
        <f t="array" ref="AO126">_xlfn.IFS(S126&lt;5000,"Low",
S126&lt;=15000,"Medium",
TRUE,"High")</f>
        <v>Medium</v>
      </c>
    </row>
    <row r="127" spans="1:41" hidden="1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 t="str">
        <f t="shared" si="3"/>
        <v>Active</v>
      </c>
      <c r="AK127">
        <f t="shared" ca="1" si="4"/>
        <v>2020</v>
      </c>
      <c r="AL127">
        <f t="shared" si="5"/>
        <v>0</v>
      </c>
      <c r="AM127" t="e" cm="1">
        <f t="array" aca="1" ref="AM127" ca="1">IF(B127="Yes",YEAR(TODAY()),BLANK())</f>
        <v>#NAME?</v>
      </c>
      <c r="AN127" t="str" cm="1">
        <f t="array" ref="AN127" xml:space="preserve"> _xlfn.IFS(A127&lt;25,"&lt;25",
A127&lt;=35,"25-35",
A127&lt;=45,"36-45",
TRUE,"45+"
)</f>
        <v>25-35</v>
      </c>
      <c r="AO127" t="str" cm="1">
        <f t="array" ref="AO127">_xlfn.IFS(S127&lt;5000,"Low",
S127&lt;=15000,"Medium",
TRUE,"High")</f>
        <v>Low</v>
      </c>
    </row>
    <row r="128" spans="1:41" hidden="1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 t="str">
        <f t="shared" si="3"/>
        <v>Resigned</v>
      </c>
      <c r="AK128">
        <f t="shared" ca="1" si="4"/>
        <v>1985</v>
      </c>
      <c r="AL128">
        <f t="shared" si="5"/>
        <v>1</v>
      </c>
      <c r="AM128" cm="1">
        <f t="array" aca="1" ref="AM128" ca="1">IF(B128="Yes",YEAR(TODAY()),BLANK())</f>
        <v>2025</v>
      </c>
      <c r="AN128" t="str" cm="1">
        <f t="array" ref="AN128" xml:space="preserve"> _xlfn.IFS(A128&lt;25,"&lt;25",
A128&lt;=35,"25-35",
A128&lt;=45,"36-45",
TRUE,"45+"
)</f>
        <v>45+</v>
      </c>
      <c r="AO128" t="str" cm="1">
        <f t="array" ref="AO128">_xlfn.IFS(S128&lt;5000,"Low",
S128&lt;=15000,"Medium",
TRUE,"High")</f>
        <v>Medium</v>
      </c>
    </row>
    <row r="129" spans="1:41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 t="str">
        <f t="shared" si="3"/>
        <v>Resigned</v>
      </c>
      <c r="AK129">
        <f t="shared" ca="1" si="4"/>
        <v>2025</v>
      </c>
      <c r="AL129">
        <f t="shared" si="5"/>
        <v>1</v>
      </c>
      <c r="AM129" cm="1">
        <f t="array" aca="1" ref="AM129" ca="1">IF(B129="Yes",YEAR(TODAY()),BLANK())</f>
        <v>2025</v>
      </c>
      <c r="AN129" t="str" cm="1">
        <f t="array" ref="AN129" xml:space="preserve"> _xlfn.IFS(A129&lt;25,"&lt;25",
A129&lt;=35,"25-35",
A129&lt;=45,"36-45",
TRUE,"45+"
)</f>
        <v>&lt;25</v>
      </c>
      <c r="AO129" t="str" cm="1">
        <f t="array" ref="AO129">_xlfn.IFS(S129&lt;5000,"Low",
S129&lt;=15000,"Medium",
TRUE,"High")</f>
        <v>Low</v>
      </c>
    </row>
    <row r="130" spans="1:41" hidden="1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 t="str">
        <f t="shared" si="3"/>
        <v>Active</v>
      </c>
      <c r="AK130">
        <f t="shared" ca="1" si="4"/>
        <v>2022</v>
      </c>
      <c r="AL130">
        <f t="shared" si="5"/>
        <v>0</v>
      </c>
      <c r="AM130" t="e" cm="1">
        <f t="array" aca="1" ref="AM130" ca="1">IF(B130="Yes",YEAR(TODAY()),BLANK())</f>
        <v>#NAME?</v>
      </c>
      <c r="AN130" t="str" cm="1">
        <f t="array" ref="AN130" xml:space="preserve"> _xlfn.IFS(A130&lt;25,"&lt;25",
A130&lt;=35,"25-35",
A130&lt;=45,"36-45",
TRUE,"45+"
)</f>
        <v>&lt;25</v>
      </c>
      <c r="AO130" t="str" cm="1">
        <f t="array" ref="AO130">_xlfn.IFS(S130&lt;5000,"Low",
S130&lt;=15000,"Medium",
TRUE,"High")</f>
        <v>Low</v>
      </c>
    </row>
    <row r="131" spans="1:41" hidden="1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 t="str">
        <f t="shared" ref="AJ131:AJ194" si="6">IF(B131="Yes", "Resigned","Active")</f>
        <v>Active</v>
      </c>
      <c r="AK131">
        <f t="shared" ref="AK131:AK194" ca="1" si="7">YEAR(TODAY()) - AC131</f>
        <v>2009</v>
      </c>
      <c r="AL131">
        <f t="shared" ref="AL131:AL194" si="8">IF(B131="Yes",1,0)</f>
        <v>0</v>
      </c>
      <c r="AM131" t="e" cm="1">
        <f t="array" aca="1" ref="AM131" ca="1">IF(B131="Yes",YEAR(TODAY()),BLANK())</f>
        <v>#NAME?</v>
      </c>
      <c r="AN131" t="str" cm="1">
        <f t="array" ref="AN131" xml:space="preserve"> _xlfn.IFS(A131&lt;25,"&lt;25",
A131&lt;=35,"25-35",
A131&lt;=45,"36-45",
TRUE,"45+"
)</f>
        <v>45+</v>
      </c>
      <c r="AO131" t="str" cm="1">
        <f t="array" ref="AO131">_xlfn.IFS(S131&lt;5000,"Low",
S131&lt;=15000,"Medium",
TRUE,"High")</f>
        <v>Medium</v>
      </c>
    </row>
    <row r="132" spans="1:41" hidden="1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 t="str">
        <f t="shared" si="6"/>
        <v>Active</v>
      </c>
      <c r="AK132">
        <f t="shared" ca="1" si="7"/>
        <v>2007</v>
      </c>
      <c r="AL132">
        <f t="shared" si="8"/>
        <v>0</v>
      </c>
      <c r="AM132" t="e" cm="1">
        <f t="array" aca="1" ref="AM132" ca="1">IF(B132="Yes",YEAR(TODAY()),BLANK())</f>
        <v>#NAME?</v>
      </c>
      <c r="AN132" t="str" cm="1">
        <f t="array" ref="AN132" xml:space="preserve"> _xlfn.IFS(A132&lt;25,"&lt;25",
A132&lt;=35,"25-35",
A132&lt;=45,"36-45",
TRUE,"45+"
)</f>
        <v>36-45</v>
      </c>
      <c r="AO132" t="str" cm="1">
        <f t="array" ref="AO132">_xlfn.IFS(S132&lt;5000,"Low",
S132&lt;=15000,"Medium",
TRUE,"High")</f>
        <v>Low</v>
      </c>
    </row>
    <row r="133" spans="1:41" hidden="1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 t="str">
        <f t="shared" si="6"/>
        <v>Active</v>
      </c>
      <c r="AK133">
        <f t="shared" ca="1" si="7"/>
        <v>2009</v>
      </c>
      <c r="AL133">
        <f t="shared" si="8"/>
        <v>0</v>
      </c>
      <c r="AM133" t="e" cm="1">
        <f t="array" aca="1" ref="AM133" ca="1">IF(B133="Yes",YEAR(TODAY()),BLANK())</f>
        <v>#NAME?</v>
      </c>
      <c r="AN133" t="str" cm="1">
        <f t="array" ref="AN133" xml:space="preserve"> _xlfn.IFS(A133&lt;25,"&lt;25",
A133&lt;=35,"25-35",
A133&lt;=45,"36-45",
TRUE,"45+"
)</f>
        <v>45+</v>
      </c>
      <c r="AO133" t="str" cm="1">
        <f t="array" ref="AO133">_xlfn.IFS(S133&lt;5000,"Low",
S133&lt;=15000,"Medium",
TRUE,"High")</f>
        <v>Medium</v>
      </c>
    </row>
    <row r="134" spans="1:41" hidden="1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 t="str">
        <f t="shared" si="6"/>
        <v>Resigned</v>
      </c>
      <c r="AK134">
        <f t="shared" ca="1" si="7"/>
        <v>2021</v>
      </c>
      <c r="AL134">
        <f t="shared" si="8"/>
        <v>1</v>
      </c>
      <c r="AM134" cm="1">
        <f t="array" aca="1" ref="AM134" ca="1">IF(B134="Yes",YEAR(TODAY()),BLANK())</f>
        <v>2025</v>
      </c>
      <c r="AN134" t="str" cm="1">
        <f t="array" ref="AN134" xml:space="preserve"> _xlfn.IFS(A134&lt;25,"&lt;25",
A134&lt;=35,"25-35",
A134&lt;=45,"36-45",
TRUE,"45+"
)</f>
        <v>25-35</v>
      </c>
      <c r="AO134" t="str" cm="1">
        <f t="array" ref="AO134">_xlfn.IFS(S134&lt;5000,"Low",
S134&lt;=15000,"Medium",
TRUE,"High")</f>
        <v>Low</v>
      </c>
    </row>
    <row r="135" spans="1:41" hidden="1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 t="str">
        <f t="shared" si="6"/>
        <v>Active</v>
      </c>
      <c r="AK135">
        <f t="shared" ca="1" si="7"/>
        <v>2013</v>
      </c>
      <c r="AL135">
        <f t="shared" si="8"/>
        <v>0</v>
      </c>
      <c r="AM135" t="e" cm="1">
        <f t="array" aca="1" ref="AM135" ca="1">IF(B135="Yes",YEAR(TODAY()),BLANK())</f>
        <v>#NAME?</v>
      </c>
      <c r="AN135" t="str" cm="1">
        <f t="array" ref="AN135" xml:space="preserve"> _xlfn.IFS(A135&lt;25,"&lt;25",
A135&lt;=35,"25-35",
A135&lt;=45,"36-45",
TRUE,"45+"
)</f>
        <v>36-45</v>
      </c>
      <c r="AO135" t="str" cm="1">
        <f t="array" ref="AO135">_xlfn.IFS(S135&lt;5000,"Low",
S135&lt;=15000,"Medium",
TRUE,"High")</f>
        <v>Medium</v>
      </c>
    </row>
    <row r="136" spans="1:41" hidden="1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 t="str">
        <f t="shared" si="6"/>
        <v>Active</v>
      </c>
      <c r="AK136">
        <f t="shared" ca="1" si="7"/>
        <v>2017</v>
      </c>
      <c r="AL136">
        <f t="shared" si="8"/>
        <v>0</v>
      </c>
      <c r="AM136" t="e" cm="1">
        <f t="array" aca="1" ref="AM136" ca="1">IF(B136="Yes",YEAR(TODAY()),BLANK())</f>
        <v>#NAME?</v>
      </c>
      <c r="AN136" t="str" cm="1">
        <f t="array" ref="AN136" xml:space="preserve"> _xlfn.IFS(A136&lt;25,"&lt;25",
A136&lt;=35,"25-35",
A136&lt;=45,"36-45",
TRUE,"45+"
)</f>
        <v>25-35</v>
      </c>
      <c r="AO136" t="str" cm="1">
        <f t="array" ref="AO136">_xlfn.IFS(S136&lt;5000,"Low",
S136&lt;=15000,"Medium",
TRUE,"High")</f>
        <v>Low</v>
      </c>
    </row>
    <row r="137" spans="1:41" hidden="1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 t="str">
        <f t="shared" si="6"/>
        <v>Active</v>
      </c>
      <c r="AK137">
        <f t="shared" ca="1" si="7"/>
        <v>2018</v>
      </c>
      <c r="AL137">
        <f t="shared" si="8"/>
        <v>0</v>
      </c>
      <c r="AM137" t="e" cm="1">
        <f t="array" aca="1" ref="AM137" ca="1">IF(B137="Yes",YEAR(TODAY()),BLANK())</f>
        <v>#NAME?</v>
      </c>
      <c r="AN137" t="str" cm="1">
        <f t="array" ref="AN137" xml:space="preserve"> _xlfn.IFS(A137&lt;25,"&lt;25",
A137&lt;=35,"25-35",
A137&lt;=45,"36-45",
TRUE,"45+"
)</f>
        <v>36-45</v>
      </c>
      <c r="AO137" t="str" cm="1">
        <f t="array" ref="AO137">_xlfn.IFS(S137&lt;5000,"Low",
S137&lt;=15000,"Medium",
TRUE,"High")</f>
        <v>Low</v>
      </c>
    </row>
    <row r="138" spans="1:41" hidden="1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 t="str">
        <f t="shared" si="6"/>
        <v>Resigned</v>
      </c>
      <c r="AK138">
        <f t="shared" ca="1" si="7"/>
        <v>2007</v>
      </c>
      <c r="AL138">
        <f t="shared" si="8"/>
        <v>1</v>
      </c>
      <c r="AM138" cm="1">
        <f t="array" aca="1" ref="AM138" ca="1">IF(B138="Yes",YEAR(TODAY()),BLANK())</f>
        <v>2025</v>
      </c>
      <c r="AN138" t="str" cm="1">
        <f t="array" ref="AN138" xml:space="preserve"> _xlfn.IFS(A138&lt;25,"&lt;25",
A138&lt;=35,"25-35",
A138&lt;=45,"36-45",
TRUE,"45+"
)</f>
        <v>45+</v>
      </c>
      <c r="AO138" t="str" cm="1">
        <f t="array" ref="AO138">_xlfn.IFS(S138&lt;5000,"Low",
S138&lt;=15000,"Medium",
TRUE,"High")</f>
        <v>Medium</v>
      </c>
    </row>
    <row r="139" spans="1:41" hidden="1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 t="str">
        <f t="shared" si="6"/>
        <v>Active</v>
      </c>
      <c r="AK139">
        <f t="shared" ca="1" si="7"/>
        <v>2008</v>
      </c>
      <c r="AL139">
        <f t="shared" si="8"/>
        <v>0</v>
      </c>
      <c r="AM139" t="e" cm="1">
        <f t="array" aca="1" ref="AM139" ca="1">IF(B139="Yes",YEAR(TODAY()),BLANK())</f>
        <v>#NAME?</v>
      </c>
      <c r="AN139" t="str" cm="1">
        <f t="array" ref="AN139" xml:space="preserve"> _xlfn.IFS(A139&lt;25,"&lt;25",
A139&lt;=35,"25-35",
A139&lt;=45,"36-45",
TRUE,"45+"
)</f>
        <v>36-45</v>
      </c>
      <c r="AO139" t="str" cm="1">
        <f t="array" ref="AO139">_xlfn.IFS(S139&lt;5000,"Low",
S139&lt;=15000,"Medium",
TRUE,"High")</f>
        <v>Medium</v>
      </c>
    </row>
    <row r="140" spans="1:41" hidden="1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 t="str">
        <f t="shared" si="6"/>
        <v>Active</v>
      </c>
      <c r="AK140">
        <f t="shared" ca="1" si="7"/>
        <v>2019</v>
      </c>
      <c r="AL140">
        <f t="shared" si="8"/>
        <v>0</v>
      </c>
      <c r="AM140" t="e" cm="1">
        <f t="array" aca="1" ref="AM140" ca="1">IF(B140="Yes",YEAR(TODAY()),BLANK())</f>
        <v>#NAME?</v>
      </c>
      <c r="AN140" t="str" cm="1">
        <f t="array" ref="AN140" xml:space="preserve"> _xlfn.IFS(A140&lt;25,"&lt;25",
A140&lt;=35,"25-35",
A140&lt;=45,"36-45",
TRUE,"45+"
)</f>
        <v>25-35</v>
      </c>
      <c r="AO140" t="str" cm="1">
        <f t="array" ref="AO140">_xlfn.IFS(S140&lt;5000,"Low",
S140&lt;=15000,"Medium",
TRUE,"High")</f>
        <v>Medium</v>
      </c>
    </row>
    <row r="141" spans="1:41" hidden="1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 t="str">
        <f t="shared" si="6"/>
        <v>Active</v>
      </c>
      <c r="AK141">
        <f t="shared" ca="1" si="7"/>
        <v>2013</v>
      </c>
      <c r="AL141">
        <f t="shared" si="8"/>
        <v>0</v>
      </c>
      <c r="AM141" t="e" cm="1">
        <f t="array" aca="1" ref="AM141" ca="1">IF(B141="Yes",YEAR(TODAY()),BLANK())</f>
        <v>#NAME?</v>
      </c>
      <c r="AN141" t="str" cm="1">
        <f t="array" ref="AN141" xml:space="preserve"> _xlfn.IFS(A141&lt;25,"&lt;25",
A141&lt;=35,"25-35",
A141&lt;=45,"36-45",
TRUE,"45+"
)</f>
        <v>25-35</v>
      </c>
      <c r="AO141" t="str" cm="1">
        <f t="array" ref="AO141">_xlfn.IFS(S141&lt;5000,"Low",
S141&lt;=15000,"Medium",
TRUE,"High")</f>
        <v>Medium</v>
      </c>
    </row>
    <row r="142" spans="1:41" hidden="1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 t="str">
        <f t="shared" si="6"/>
        <v>Resigned</v>
      </c>
      <c r="AK142">
        <f t="shared" ca="1" si="7"/>
        <v>2015</v>
      </c>
      <c r="AL142">
        <f t="shared" si="8"/>
        <v>1</v>
      </c>
      <c r="AM142" cm="1">
        <f t="array" aca="1" ref="AM142" ca="1">IF(B142="Yes",YEAR(TODAY()),BLANK())</f>
        <v>2025</v>
      </c>
      <c r="AN142" t="str" cm="1">
        <f t="array" ref="AN142" xml:space="preserve"> _xlfn.IFS(A142&lt;25,"&lt;25",
A142&lt;=35,"25-35",
A142&lt;=45,"36-45",
TRUE,"45+"
)</f>
        <v>25-35</v>
      </c>
      <c r="AO142" t="str" cm="1">
        <f t="array" ref="AO142">_xlfn.IFS(S142&lt;5000,"Low",
S142&lt;=15000,"Medium",
TRUE,"High")</f>
        <v>Low</v>
      </c>
    </row>
    <row r="143" spans="1:41" hidden="1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 t="str">
        <f t="shared" si="6"/>
        <v>Active</v>
      </c>
      <c r="AK143">
        <f t="shared" ca="1" si="7"/>
        <v>2016</v>
      </c>
      <c r="AL143">
        <f t="shared" si="8"/>
        <v>0</v>
      </c>
      <c r="AM143" t="e" cm="1">
        <f t="array" aca="1" ref="AM143" ca="1">IF(B143="Yes",YEAR(TODAY()),BLANK())</f>
        <v>#NAME?</v>
      </c>
      <c r="AN143" t="str" cm="1">
        <f t="array" ref="AN143" xml:space="preserve"> _xlfn.IFS(A143&lt;25,"&lt;25",
A143&lt;=35,"25-35",
A143&lt;=45,"36-45",
TRUE,"45+"
)</f>
        <v>36-45</v>
      </c>
      <c r="AO143" t="str" cm="1">
        <f t="array" ref="AO143">_xlfn.IFS(S143&lt;5000,"Low",
S143&lt;=15000,"Medium",
TRUE,"High")</f>
        <v>Low</v>
      </c>
    </row>
    <row r="144" spans="1:41" hidden="1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 t="str">
        <f t="shared" si="6"/>
        <v>Active</v>
      </c>
      <c r="AK144">
        <f t="shared" ca="1" si="7"/>
        <v>2006</v>
      </c>
      <c r="AL144">
        <f t="shared" si="8"/>
        <v>0</v>
      </c>
      <c r="AM144" t="e" cm="1">
        <f t="array" aca="1" ref="AM144" ca="1">IF(B144="Yes",YEAR(TODAY()),BLANK())</f>
        <v>#NAME?</v>
      </c>
      <c r="AN144" t="str" cm="1">
        <f t="array" ref="AN144" xml:space="preserve"> _xlfn.IFS(A144&lt;25,"&lt;25",
A144&lt;=35,"25-35",
A144&lt;=45,"36-45",
TRUE,"45+"
)</f>
        <v>36-45</v>
      </c>
      <c r="AO144" t="str" cm="1">
        <f t="array" ref="AO144">_xlfn.IFS(S144&lt;5000,"Low",
S144&lt;=15000,"Medium",
TRUE,"High")</f>
        <v>Low</v>
      </c>
    </row>
    <row r="145" spans="1:41" hidden="1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 t="str">
        <f t="shared" si="6"/>
        <v>Active</v>
      </c>
      <c r="AK145">
        <f t="shared" ca="1" si="7"/>
        <v>2020</v>
      </c>
      <c r="AL145">
        <f t="shared" si="8"/>
        <v>0</v>
      </c>
      <c r="AM145" t="e" cm="1">
        <f t="array" aca="1" ref="AM145" ca="1">IF(B145="Yes",YEAR(TODAY()),BLANK())</f>
        <v>#NAME?</v>
      </c>
      <c r="AN145" t="str" cm="1">
        <f t="array" ref="AN145" xml:space="preserve"> _xlfn.IFS(A145&lt;25,"&lt;25",
A145&lt;=35,"25-35",
A145&lt;=45,"36-45",
TRUE,"45+"
)</f>
        <v>25-35</v>
      </c>
      <c r="AO145" t="str" cm="1">
        <f t="array" ref="AO145">_xlfn.IFS(S145&lt;5000,"Low",
S145&lt;=15000,"Medium",
TRUE,"High")</f>
        <v>Low</v>
      </c>
    </row>
    <row r="146" spans="1:41" hidden="1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 t="str">
        <f t="shared" si="6"/>
        <v>Active</v>
      </c>
      <c r="AK146">
        <f t="shared" ca="1" si="7"/>
        <v>2016</v>
      </c>
      <c r="AL146">
        <f t="shared" si="8"/>
        <v>0</v>
      </c>
      <c r="AM146" t="e" cm="1">
        <f t="array" aca="1" ref="AM146" ca="1">IF(B146="Yes",YEAR(TODAY()),BLANK())</f>
        <v>#NAME?</v>
      </c>
      <c r="AN146" t="str" cm="1">
        <f t="array" ref="AN146" xml:space="preserve"> _xlfn.IFS(A146&lt;25,"&lt;25",
A146&lt;=35,"25-35",
A146&lt;=45,"36-45",
TRUE,"45+"
)</f>
        <v>25-35</v>
      </c>
      <c r="AO146" t="str" cm="1">
        <f t="array" ref="AO146">_xlfn.IFS(S146&lt;5000,"Low",
S146&lt;=15000,"Medium",
TRUE,"High")</f>
        <v>Low</v>
      </c>
    </row>
    <row r="147" spans="1:41" hidden="1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 t="str">
        <f t="shared" si="6"/>
        <v>Active</v>
      </c>
      <c r="AK147">
        <f t="shared" ca="1" si="7"/>
        <v>2017</v>
      </c>
      <c r="AL147">
        <f t="shared" si="8"/>
        <v>0</v>
      </c>
      <c r="AM147" t="e" cm="1">
        <f t="array" aca="1" ref="AM147" ca="1">IF(B147="Yes",YEAR(TODAY()),BLANK())</f>
        <v>#NAME?</v>
      </c>
      <c r="AN147" t="str" cm="1">
        <f t="array" ref="AN147" xml:space="preserve"> _xlfn.IFS(A147&lt;25,"&lt;25",
A147&lt;=35,"25-35",
A147&lt;=45,"36-45",
TRUE,"45+"
)</f>
        <v>25-35</v>
      </c>
      <c r="AO147" t="str" cm="1">
        <f t="array" ref="AO147">_xlfn.IFS(S147&lt;5000,"Low",
S147&lt;=15000,"Medium",
TRUE,"High")</f>
        <v>Low</v>
      </c>
    </row>
    <row r="148" spans="1:41" hidden="1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 t="str">
        <f t="shared" si="6"/>
        <v>Active</v>
      </c>
      <c r="AK148">
        <f t="shared" ca="1" si="7"/>
        <v>2019</v>
      </c>
      <c r="AL148">
        <f t="shared" si="8"/>
        <v>0</v>
      </c>
      <c r="AM148" t="e" cm="1">
        <f t="array" aca="1" ref="AM148" ca="1">IF(B148="Yes",YEAR(TODAY()),BLANK())</f>
        <v>#NAME?</v>
      </c>
      <c r="AN148" t="str" cm="1">
        <f t="array" ref="AN148" xml:space="preserve"> _xlfn.IFS(A148&lt;25,"&lt;25",
A148&lt;=35,"25-35",
A148&lt;=45,"36-45",
TRUE,"45+"
)</f>
        <v>25-35</v>
      </c>
      <c r="AO148" t="str" cm="1">
        <f t="array" ref="AO148">_xlfn.IFS(S148&lt;5000,"Low",
S148&lt;=15000,"Medium",
TRUE,"High")</f>
        <v>Low</v>
      </c>
    </row>
    <row r="149" spans="1:41" hidden="1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 t="str">
        <f t="shared" si="6"/>
        <v>Active</v>
      </c>
      <c r="AK149">
        <f t="shared" ca="1" si="7"/>
        <v>2004</v>
      </c>
      <c r="AL149">
        <f t="shared" si="8"/>
        <v>0</v>
      </c>
      <c r="AM149" t="e" cm="1">
        <f t="array" aca="1" ref="AM149" ca="1">IF(B149="Yes",YEAR(TODAY()),BLANK())</f>
        <v>#NAME?</v>
      </c>
      <c r="AN149" t="str" cm="1">
        <f t="array" ref="AN149" xml:space="preserve"> _xlfn.IFS(A149&lt;25,"&lt;25",
A149&lt;=35,"25-35",
A149&lt;=45,"36-45",
TRUE,"45+"
)</f>
        <v>36-45</v>
      </c>
      <c r="AO149" t="str" cm="1">
        <f t="array" ref="AO149">_xlfn.IFS(S149&lt;5000,"Low",
S149&lt;=15000,"Medium",
TRUE,"High")</f>
        <v>High</v>
      </c>
    </row>
    <row r="150" spans="1:41" hidden="1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 t="str">
        <f t="shared" si="6"/>
        <v>Active</v>
      </c>
      <c r="AK150">
        <f t="shared" ca="1" si="7"/>
        <v>2018</v>
      </c>
      <c r="AL150">
        <f t="shared" si="8"/>
        <v>0</v>
      </c>
      <c r="AM150" t="e" cm="1">
        <f t="array" aca="1" ref="AM150" ca="1">IF(B150="Yes",YEAR(TODAY()),BLANK())</f>
        <v>#NAME?</v>
      </c>
      <c r="AN150" t="str" cm="1">
        <f t="array" ref="AN150" xml:space="preserve"> _xlfn.IFS(A150&lt;25,"&lt;25",
A150&lt;=35,"25-35",
A150&lt;=45,"36-45",
TRUE,"45+"
)</f>
        <v>36-45</v>
      </c>
      <c r="AO150" t="str" cm="1">
        <f t="array" ref="AO150">_xlfn.IFS(S150&lt;5000,"Low",
S150&lt;=15000,"Medium",
TRUE,"High")</f>
        <v>Low</v>
      </c>
    </row>
    <row r="151" spans="1:41" hidden="1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 t="str">
        <f t="shared" si="6"/>
        <v>Active</v>
      </c>
      <c r="AK151">
        <f t="shared" ca="1" si="7"/>
        <v>2024</v>
      </c>
      <c r="AL151">
        <f t="shared" si="8"/>
        <v>0</v>
      </c>
      <c r="AM151" t="e" cm="1">
        <f t="array" aca="1" ref="AM151" ca="1">IF(B151="Yes",YEAR(TODAY()),BLANK())</f>
        <v>#NAME?</v>
      </c>
      <c r="AN151" t="str" cm="1">
        <f t="array" ref="AN151" xml:space="preserve"> _xlfn.IFS(A151&lt;25,"&lt;25",
A151&lt;=35,"25-35",
A151&lt;=45,"36-45",
TRUE,"45+"
)</f>
        <v>&lt;25</v>
      </c>
      <c r="AO151" t="str" cm="1">
        <f t="array" ref="AO151">_xlfn.IFS(S151&lt;5000,"Low",
S151&lt;=15000,"Medium",
TRUE,"High")</f>
        <v>Low</v>
      </c>
    </row>
    <row r="152" spans="1:41" hidden="1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 t="str">
        <f t="shared" si="6"/>
        <v>Active</v>
      </c>
      <c r="AK152">
        <f t="shared" ca="1" si="7"/>
        <v>2005</v>
      </c>
      <c r="AL152">
        <f t="shared" si="8"/>
        <v>0</v>
      </c>
      <c r="AM152" t="e" cm="1">
        <f t="array" aca="1" ref="AM152" ca="1">IF(B152="Yes",YEAR(TODAY()),BLANK())</f>
        <v>#NAME?</v>
      </c>
      <c r="AN152" t="str" cm="1">
        <f t="array" ref="AN152" xml:space="preserve"> _xlfn.IFS(A152&lt;25,"&lt;25",
A152&lt;=35,"25-35",
A152&lt;=45,"36-45",
TRUE,"45+"
)</f>
        <v>36-45</v>
      </c>
      <c r="AO152" t="str" cm="1">
        <f t="array" ref="AO152">_xlfn.IFS(S152&lt;5000,"Low",
S152&lt;=15000,"Medium",
TRUE,"High")</f>
        <v>Medium</v>
      </c>
    </row>
    <row r="153" spans="1:41" hidden="1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 t="str">
        <f t="shared" si="6"/>
        <v>Active</v>
      </c>
      <c r="AK153">
        <f t="shared" ca="1" si="7"/>
        <v>2015</v>
      </c>
      <c r="AL153">
        <f t="shared" si="8"/>
        <v>0</v>
      </c>
      <c r="AM153" t="e" cm="1">
        <f t="array" aca="1" ref="AM153" ca="1">IF(B153="Yes",YEAR(TODAY()),BLANK())</f>
        <v>#NAME?</v>
      </c>
      <c r="AN153" t="str" cm="1">
        <f t="array" ref="AN153" xml:space="preserve"> _xlfn.IFS(A153&lt;25,"&lt;25",
A153&lt;=35,"25-35",
A153&lt;=45,"36-45",
TRUE,"45+"
)</f>
        <v>25-35</v>
      </c>
      <c r="AO153" t="str" cm="1">
        <f t="array" ref="AO153">_xlfn.IFS(S153&lt;5000,"Low",
S153&lt;=15000,"Medium",
TRUE,"High")</f>
        <v>Medium</v>
      </c>
    </row>
    <row r="154" spans="1:41" hidden="1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 t="str">
        <f t="shared" si="6"/>
        <v>Active</v>
      </c>
      <c r="AK154">
        <f t="shared" ca="1" si="7"/>
        <v>2012</v>
      </c>
      <c r="AL154">
        <f t="shared" si="8"/>
        <v>0</v>
      </c>
      <c r="AM154" t="e" cm="1">
        <f t="array" aca="1" ref="AM154" ca="1">IF(B154="Yes",YEAR(TODAY()),BLANK())</f>
        <v>#NAME?</v>
      </c>
      <c r="AN154" t="str" cm="1">
        <f t="array" ref="AN154" xml:space="preserve"> _xlfn.IFS(A154&lt;25,"&lt;25",
A154&lt;=35,"25-35",
A154&lt;=45,"36-45",
TRUE,"45+"
)</f>
        <v>45+</v>
      </c>
      <c r="AO154" t="str" cm="1">
        <f t="array" ref="AO154">_xlfn.IFS(S154&lt;5000,"Low",
S154&lt;=15000,"Medium",
TRUE,"High")</f>
        <v>Low</v>
      </c>
    </row>
    <row r="155" spans="1:41" hidden="1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 t="str">
        <f t="shared" si="6"/>
        <v>Active</v>
      </c>
      <c r="AK155">
        <f t="shared" ca="1" si="7"/>
        <v>2005</v>
      </c>
      <c r="AL155">
        <f t="shared" si="8"/>
        <v>0</v>
      </c>
      <c r="AM155" t="e" cm="1">
        <f t="array" aca="1" ref="AM155" ca="1">IF(B155="Yes",YEAR(TODAY()),BLANK())</f>
        <v>#NAME?</v>
      </c>
      <c r="AN155" t="str" cm="1">
        <f t="array" ref="AN155" xml:space="preserve"> _xlfn.IFS(A155&lt;25,"&lt;25",
A155&lt;=35,"25-35",
A155&lt;=45,"36-45",
TRUE,"45+"
)</f>
        <v>36-45</v>
      </c>
      <c r="AO155" t="str" cm="1">
        <f t="array" ref="AO155">_xlfn.IFS(S155&lt;5000,"Low",
S155&lt;=15000,"Medium",
TRUE,"High")</f>
        <v>Low</v>
      </c>
    </row>
    <row r="156" spans="1:41" hidden="1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 t="str">
        <f t="shared" si="6"/>
        <v>Active</v>
      </c>
      <c r="AK156">
        <f t="shared" ca="1" si="7"/>
        <v>2016</v>
      </c>
      <c r="AL156">
        <f t="shared" si="8"/>
        <v>0</v>
      </c>
      <c r="AM156" t="e" cm="1">
        <f t="array" aca="1" ref="AM156" ca="1">IF(B156="Yes",YEAR(TODAY()),BLANK())</f>
        <v>#NAME?</v>
      </c>
      <c r="AN156" t="str" cm="1">
        <f t="array" ref="AN156" xml:space="preserve"> _xlfn.IFS(A156&lt;25,"&lt;25",
A156&lt;=35,"25-35",
A156&lt;=45,"36-45",
TRUE,"45+"
)</f>
        <v>25-35</v>
      </c>
      <c r="AO156" t="str" cm="1">
        <f t="array" ref="AO156">_xlfn.IFS(S156&lt;5000,"Low",
S156&lt;=15000,"Medium",
TRUE,"High")</f>
        <v>Medium</v>
      </c>
    </row>
    <row r="157" spans="1:41" hidden="1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 t="str">
        <f t="shared" si="6"/>
        <v>Active</v>
      </c>
      <c r="AK157">
        <f t="shared" ca="1" si="7"/>
        <v>2015</v>
      </c>
      <c r="AL157">
        <f t="shared" si="8"/>
        <v>0</v>
      </c>
      <c r="AM157" t="e" cm="1">
        <f t="array" aca="1" ref="AM157" ca="1">IF(B157="Yes",YEAR(TODAY()),BLANK())</f>
        <v>#NAME?</v>
      </c>
      <c r="AN157" t="str" cm="1">
        <f t="array" ref="AN157" xml:space="preserve"> _xlfn.IFS(A157&lt;25,"&lt;25",
A157&lt;=35,"25-35",
A157&lt;=45,"36-45",
TRUE,"45+"
)</f>
        <v>25-35</v>
      </c>
      <c r="AO157" t="str" cm="1">
        <f t="array" ref="AO157">_xlfn.IFS(S157&lt;5000,"Low",
S157&lt;=15000,"Medium",
TRUE,"High")</f>
        <v>Low</v>
      </c>
    </row>
    <row r="158" spans="1:41" hidden="1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 t="str">
        <f t="shared" si="6"/>
        <v>Active</v>
      </c>
      <c r="AK158">
        <f t="shared" ca="1" si="7"/>
        <v>2015</v>
      </c>
      <c r="AL158">
        <f t="shared" si="8"/>
        <v>0</v>
      </c>
      <c r="AM158" t="e" cm="1">
        <f t="array" aca="1" ref="AM158" ca="1">IF(B158="Yes",YEAR(TODAY()),BLANK())</f>
        <v>#NAME?</v>
      </c>
      <c r="AN158" t="str" cm="1">
        <f t="array" ref="AN158" xml:space="preserve"> _xlfn.IFS(A158&lt;25,"&lt;25",
A158&lt;=35,"25-35",
A158&lt;=45,"36-45",
TRUE,"45+"
)</f>
        <v>45+</v>
      </c>
      <c r="AO158" t="str" cm="1">
        <f t="array" ref="AO158">_xlfn.IFS(S158&lt;5000,"Low",
S158&lt;=15000,"Medium",
TRUE,"High")</f>
        <v>Medium</v>
      </c>
    </row>
    <row r="159" spans="1:41" hidden="1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 t="str">
        <f t="shared" si="6"/>
        <v>Active</v>
      </c>
      <c r="AK159">
        <f t="shared" ca="1" si="7"/>
        <v>2016</v>
      </c>
      <c r="AL159">
        <f t="shared" si="8"/>
        <v>0</v>
      </c>
      <c r="AM159" t="e" cm="1">
        <f t="array" aca="1" ref="AM159" ca="1">IF(B159="Yes",YEAR(TODAY()),BLANK())</f>
        <v>#NAME?</v>
      </c>
      <c r="AN159" t="str" cm="1">
        <f t="array" ref="AN159" xml:space="preserve"> _xlfn.IFS(A159&lt;25,"&lt;25",
A159&lt;=35,"25-35",
A159&lt;=45,"36-45",
TRUE,"45+"
)</f>
        <v>45+</v>
      </c>
      <c r="AO159" t="str" cm="1">
        <f t="array" ref="AO159">_xlfn.IFS(S159&lt;5000,"Low",
S159&lt;=15000,"Medium",
TRUE,"High")</f>
        <v>Low</v>
      </c>
    </row>
    <row r="160" spans="1:41" hidden="1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 t="str">
        <f t="shared" si="6"/>
        <v>Active</v>
      </c>
      <c r="AK160">
        <f t="shared" ca="1" si="7"/>
        <v>2010</v>
      </c>
      <c r="AL160">
        <f t="shared" si="8"/>
        <v>0</v>
      </c>
      <c r="AM160" t="e" cm="1">
        <f t="array" aca="1" ref="AM160" ca="1">IF(B160="Yes",YEAR(TODAY()),BLANK())</f>
        <v>#NAME?</v>
      </c>
      <c r="AN160" t="str" cm="1">
        <f t="array" ref="AN160" xml:space="preserve"> _xlfn.IFS(A160&lt;25,"&lt;25",
A160&lt;=35,"25-35",
A160&lt;=45,"36-45",
TRUE,"45+"
)</f>
        <v>36-45</v>
      </c>
      <c r="AO160" t="str" cm="1">
        <f t="array" ref="AO160">_xlfn.IFS(S160&lt;5000,"Low",
S160&lt;=15000,"Medium",
TRUE,"High")</f>
        <v>Medium</v>
      </c>
    </row>
    <row r="161" spans="1:41" hidden="1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 t="str">
        <f t="shared" si="6"/>
        <v>Active</v>
      </c>
      <c r="AK161">
        <f t="shared" ca="1" si="7"/>
        <v>2019</v>
      </c>
      <c r="AL161">
        <f t="shared" si="8"/>
        <v>0</v>
      </c>
      <c r="AM161" t="e" cm="1">
        <f t="array" aca="1" ref="AM161" ca="1">IF(B161="Yes",YEAR(TODAY()),BLANK())</f>
        <v>#NAME?</v>
      </c>
      <c r="AN161" t="str" cm="1">
        <f t="array" ref="AN161" xml:space="preserve"> _xlfn.IFS(A161&lt;25,"&lt;25",
A161&lt;=35,"25-35",
A161&lt;=45,"36-45",
TRUE,"45+"
)</f>
        <v>25-35</v>
      </c>
      <c r="AO161" t="str" cm="1">
        <f t="array" ref="AO161">_xlfn.IFS(S161&lt;5000,"Low",
S161&lt;=15000,"Medium",
TRUE,"High")</f>
        <v>Low</v>
      </c>
    </row>
    <row r="162" spans="1:41" hidden="1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 t="str">
        <f t="shared" si="6"/>
        <v>Active</v>
      </c>
      <c r="AK162">
        <f t="shared" ca="1" si="7"/>
        <v>2023</v>
      </c>
      <c r="AL162">
        <f t="shared" si="8"/>
        <v>0</v>
      </c>
      <c r="AM162" t="e" cm="1">
        <f t="array" aca="1" ref="AM162" ca="1">IF(B162="Yes",YEAR(TODAY()),BLANK())</f>
        <v>#NAME?</v>
      </c>
      <c r="AN162" t="str" cm="1">
        <f t="array" ref="AN162" xml:space="preserve"> _xlfn.IFS(A162&lt;25,"&lt;25",
A162&lt;=35,"25-35",
A162&lt;=45,"36-45",
TRUE,"45+"
)</f>
        <v>&lt;25</v>
      </c>
      <c r="AO162" t="str" cm="1">
        <f t="array" ref="AO162">_xlfn.IFS(S162&lt;5000,"Low",
S162&lt;=15000,"Medium",
TRUE,"High")</f>
        <v>Low</v>
      </c>
    </row>
    <row r="163" spans="1:41" hidden="1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 t="str">
        <f t="shared" si="6"/>
        <v>Active</v>
      </c>
      <c r="AK163">
        <f t="shared" ca="1" si="7"/>
        <v>2019</v>
      </c>
      <c r="AL163">
        <f t="shared" si="8"/>
        <v>0</v>
      </c>
      <c r="AM163" t="e" cm="1">
        <f t="array" aca="1" ref="AM163" ca="1">IF(B163="Yes",YEAR(TODAY()),BLANK())</f>
        <v>#NAME?</v>
      </c>
      <c r="AN163" t="str" cm="1">
        <f t="array" ref="AN163" xml:space="preserve"> _xlfn.IFS(A163&lt;25,"&lt;25",
A163&lt;=35,"25-35",
A163&lt;=45,"36-45",
TRUE,"45+"
)</f>
        <v>25-35</v>
      </c>
      <c r="AO163" t="str" cm="1">
        <f t="array" ref="AO163">_xlfn.IFS(S163&lt;5000,"Low",
S163&lt;=15000,"Medium",
TRUE,"High")</f>
        <v>Low</v>
      </c>
    </row>
    <row r="164" spans="1:41" hidden="1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 t="str">
        <f t="shared" si="6"/>
        <v>Active</v>
      </c>
      <c r="AK164">
        <f t="shared" ca="1" si="7"/>
        <v>2020</v>
      </c>
      <c r="AL164">
        <f t="shared" si="8"/>
        <v>0</v>
      </c>
      <c r="AM164" t="e" cm="1">
        <f t="array" aca="1" ref="AM164" ca="1">IF(B164="Yes",YEAR(TODAY()),BLANK())</f>
        <v>#NAME?</v>
      </c>
      <c r="AN164" t="str" cm="1">
        <f t="array" ref="AN164" xml:space="preserve"> _xlfn.IFS(A164&lt;25,"&lt;25",
A164&lt;=35,"25-35",
A164&lt;=45,"36-45",
TRUE,"45+"
)</f>
        <v>25-35</v>
      </c>
      <c r="AO164" t="str" cm="1">
        <f t="array" ref="AO164">_xlfn.IFS(S164&lt;5000,"Low",
S164&lt;=15000,"Medium",
TRUE,"High")</f>
        <v>Low</v>
      </c>
    </row>
    <row r="165" spans="1:41" hidden="1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 t="str">
        <f t="shared" si="6"/>
        <v>Active</v>
      </c>
      <c r="AK165">
        <f t="shared" ca="1" si="7"/>
        <v>2013</v>
      </c>
      <c r="AL165">
        <f t="shared" si="8"/>
        <v>0</v>
      </c>
      <c r="AM165" t="e" cm="1">
        <f t="array" aca="1" ref="AM165" ca="1">IF(B165="Yes",YEAR(TODAY()),BLANK())</f>
        <v>#NAME?</v>
      </c>
      <c r="AN165" t="str" cm="1">
        <f t="array" ref="AN165" xml:space="preserve"> _xlfn.IFS(A165&lt;25,"&lt;25",
A165&lt;=35,"25-35",
A165&lt;=45,"36-45",
TRUE,"45+"
)</f>
        <v>45+</v>
      </c>
      <c r="AO165" t="str" cm="1">
        <f t="array" ref="AO165">_xlfn.IFS(S165&lt;5000,"Low",
S165&lt;=15000,"Medium",
TRUE,"High")</f>
        <v>Medium</v>
      </c>
    </row>
    <row r="166" spans="1:41" hidden="1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 t="str">
        <f t="shared" si="6"/>
        <v>Active</v>
      </c>
      <c r="AK166">
        <f t="shared" ca="1" si="7"/>
        <v>2024</v>
      </c>
      <c r="AL166">
        <f t="shared" si="8"/>
        <v>0</v>
      </c>
      <c r="AM166" t="e" cm="1">
        <f t="array" aca="1" ref="AM166" ca="1">IF(B166="Yes",YEAR(TODAY()),BLANK())</f>
        <v>#NAME?</v>
      </c>
      <c r="AN166" t="str" cm="1">
        <f t="array" ref="AN166" xml:space="preserve"> _xlfn.IFS(A166&lt;25,"&lt;25",
A166&lt;=35,"25-35",
A166&lt;=45,"36-45",
TRUE,"45+"
)</f>
        <v>25-35</v>
      </c>
      <c r="AO166" t="str" cm="1">
        <f t="array" ref="AO166">_xlfn.IFS(S166&lt;5000,"Low",
S166&lt;=15000,"Medium",
TRUE,"High")</f>
        <v>Low</v>
      </c>
    </row>
    <row r="167" spans="1:41" hidden="1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 t="str">
        <f t="shared" si="6"/>
        <v>Active</v>
      </c>
      <c r="AK167">
        <f t="shared" ca="1" si="7"/>
        <v>2004</v>
      </c>
      <c r="AL167">
        <f t="shared" si="8"/>
        <v>0</v>
      </c>
      <c r="AM167" t="e" cm="1">
        <f t="array" aca="1" ref="AM167" ca="1">IF(B167="Yes",YEAR(TODAY()),BLANK())</f>
        <v>#NAME?</v>
      </c>
      <c r="AN167" t="str" cm="1">
        <f t="array" ref="AN167" xml:space="preserve"> _xlfn.IFS(A167&lt;25,"&lt;25",
A167&lt;=35,"25-35",
A167&lt;=45,"36-45",
TRUE,"45+"
)</f>
        <v>45+</v>
      </c>
      <c r="AO167" t="str" cm="1">
        <f t="array" ref="AO167">_xlfn.IFS(S167&lt;5000,"Low",
S167&lt;=15000,"Medium",
TRUE,"High")</f>
        <v>High</v>
      </c>
    </row>
    <row r="168" spans="1:41" hidden="1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 t="str">
        <f t="shared" si="6"/>
        <v>Active</v>
      </c>
      <c r="AK168">
        <f t="shared" ca="1" si="7"/>
        <v>2012</v>
      </c>
      <c r="AL168">
        <f t="shared" si="8"/>
        <v>0</v>
      </c>
      <c r="AM168" t="e" cm="1">
        <f t="array" aca="1" ref="AM168" ca="1">IF(B168="Yes",YEAR(TODAY()),BLANK())</f>
        <v>#NAME?</v>
      </c>
      <c r="AN168" t="str" cm="1">
        <f t="array" ref="AN168" xml:space="preserve"> _xlfn.IFS(A168&lt;25,"&lt;25",
A168&lt;=35,"25-35",
A168&lt;=45,"36-45",
TRUE,"45+"
)</f>
        <v>36-45</v>
      </c>
      <c r="AO168" t="str" cm="1">
        <f t="array" ref="AO168">_xlfn.IFS(S168&lt;5000,"Low",
S168&lt;=15000,"Medium",
TRUE,"High")</f>
        <v>Low</v>
      </c>
    </row>
    <row r="169" spans="1:41" hidden="1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 t="str">
        <f t="shared" si="6"/>
        <v>Active</v>
      </c>
      <c r="AK169">
        <f t="shared" ca="1" si="7"/>
        <v>2013</v>
      </c>
      <c r="AL169">
        <f t="shared" si="8"/>
        <v>0</v>
      </c>
      <c r="AM169" t="e" cm="1">
        <f t="array" aca="1" ref="AM169" ca="1">IF(B169="Yes",YEAR(TODAY()),BLANK())</f>
        <v>#NAME?</v>
      </c>
      <c r="AN169" t="str" cm="1">
        <f t="array" ref="AN169" xml:space="preserve"> _xlfn.IFS(A169&lt;25,"&lt;25",
A169&lt;=35,"25-35",
A169&lt;=45,"36-45",
TRUE,"45+"
)</f>
        <v>25-35</v>
      </c>
      <c r="AO169" t="str" cm="1">
        <f t="array" ref="AO169">_xlfn.IFS(S169&lt;5000,"Low",
S169&lt;=15000,"Medium",
TRUE,"High")</f>
        <v>Medium</v>
      </c>
    </row>
    <row r="170" spans="1:41" hidden="1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 t="str">
        <f t="shared" si="6"/>
        <v>Active</v>
      </c>
      <c r="AK170">
        <f t="shared" ca="1" si="7"/>
        <v>2013</v>
      </c>
      <c r="AL170">
        <f t="shared" si="8"/>
        <v>0</v>
      </c>
      <c r="AM170" t="e" cm="1">
        <f t="array" aca="1" ref="AM170" ca="1">IF(B170="Yes",YEAR(TODAY()),BLANK())</f>
        <v>#NAME?</v>
      </c>
      <c r="AN170" t="str" cm="1">
        <f t="array" ref="AN170" xml:space="preserve"> _xlfn.IFS(A170&lt;25,"&lt;25",
A170&lt;=35,"25-35",
A170&lt;=45,"36-45",
TRUE,"45+"
)</f>
        <v>36-45</v>
      </c>
      <c r="AO170" t="str" cm="1">
        <f t="array" ref="AO170">_xlfn.IFS(S170&lt;5000,"Low",
S170&lt;=15000,"Medium",
TRUE,"High")</f>
        <v>Medium</v>
      </c>
    </row>
    <row r="171" spans="1:41" hidden="1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 t="str">
        <f t="shared" si="6"/>
        <v>Active</v>
      </c>
      <c r="AK171">
        <f t="shared" ca="1" si="7"/>
        <v>2017</v>
      </c>
      <c r="AL171">
        <f t="shared" si="8"/>
        <v>0</v>
      </c>
      <c r="AM171" t="e" cm="1">
        <f t="array" aca="1" ref="AM171" ca="1">IF(B171="Yes",YEAR(TODAY()),BLANK())</f>
        <v>#NAME?</v>
      </c>
      <c r="AN171" t="str" cm="1">
        <f t="array" ref="AN171" xml:space="preserve"> _xlfn.IFS(A171&lt;25,"&lt;25",
A171&lt;=35,"25-35",
A171&lt;=45,"36-45",
TRUE,"45+"
)</f>
        <v>25-35</v>
      </c>
      <c r="AO171" t="str" cm="1">
        <f t="array" ref="AO171">_xlfn.IFS(S171&lt;5000,"Low",
S171&lt;=15000,"Medium",
TRUE,"High")</f>
        <v>Low</v>
      </c>
    </row>
    <row r="172" spans="1:41" hidden="1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 t="str">
        <f t="shared" si="6"/>
        <v>Active</v>
      </c>
      <c r="AK172">
        <f t="shared" ca="1" si="7"/>
        <v>2019</v>
      </c>
      <c r="AL172">
        <f t="shared" si="8"/>
        <v>0</v>
      </c>
      <c r="AM172" t="e" cm="1">
        <f t="array" aca="1" ref="AM172" ca="1">IF(B172="Yes",YEAR(TODAY()),BLANK())</f>
        <v>#NAME?</v>
      </c>
      <c r="AN172" t="str" cm="1">
        <f t="array" ref="AN172" xml:space="preserve"> _xlfn.IFS(A172&lt;25,"&lt;25",
A172&lt;=35,"25-35",
A172&lt;=45,"36-45",
TRUE,"45+"
)</f>
        <v>25-35</v>
      </c>
      <c r="AO172" t="str" cm="1">
        <f t="array" ref="AO172">_xlfn.IFS(S172&lt;5000,"Low",
S172&lt;=15000,"Medium",
TRUE,"High")</f>
        <v>Low</v>
      </c>
    </row>
    <row r="173" spans="1:41" hidden="1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 t="str">
        <f t="shared" si="6"/>
        <v>Resigned</v>
      </c>
      <c r="AK173">
        <f t="shared" ca="1" si="7"/>
        <v>2024</v>
      </c>
      <c r="AL173">
        <f t="shared" si="8"/>
        <v>1</v>
      </c>
      <c r="AM173" cm="1">
        <f t="array" aca="1" ref="AM173" ca="1">IF(B173="Yes",YEAR(TODAY()),BLANK())</f>
        <v>2025</v>
      </c>
      <c r="AN173" t="str" cm="1">
        <f t="array" ref="AN173" xml:space="preserve"> _xlfn.IFS(A173&lt;25,"&lt;25",
A173&lt;=35,"25-35",
A173&lt;=45,"36-45",
TRUE,"45+"
)</f>
        <v>&lt;25</v>
      </c>
      <c r="AO173" t="str" cm="1">
        <f t="array" ref="AO173">_xlfn.IFS(S173&lt;5000,"Low",
S173&lt;=15000,"Medium",
TRUE,"High")</f>
        <v>Low</v>
      </c>
    </row>
    <row r="174" spans="1:41" hidden="1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 t="str">
        <f t="shared" si="6"/>
        <v>Active</v>
      </c>
      <c r="AK174">
        <f t="shared" ca="1" si="7"/>
        <v>2012</v>
      </c>
      <c r="AL174">
        <f t="shared" si="8"/>
        <v>0</v>
      </c>
      <c r="AM174" t="e" cm="1">
        <f t="array" aca="1" ref="AM174" ca="1">IF(B174="Yes",YEAR(TODAY()),BLANK())</f>
        <v>#NAME?</v>
      </c>
      <c r="AN174" t="str" cm="1">
        <f t="array" ref="AN174" xml:space="preserve"> _xlfn.IFS(A174&lt;25,"&lt;25",
A174&lt;=35,"25-35",
A174&lt;=45,"36-45",
TRUE,"45+"
)</f>
        <v>36-45</v>
      </c>
      <c r="AO174" t="str" cm="1">
        <f t="array" ref="AO174">_xlfn.IFS(S174&lt;5000,"Low",
S174&lt;=15000,"Medium",
TRUE,"High")</f>
        <v>Low</v>
      </c>
    </row>
    <row r="175" spans="1:41" hidden="1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 t="str">
        <f t="shared" si="6"/>
        <v>Active</v>
      </c>
      <c r="AK175">
        <f t="shared" ca="1" si="7"/>
        <v>2013</v>
      </c>
      <c r="AL175">
        <f t="shared" si="8"/>
        <v>0</v>
      </c>
      <c r="AM175" t="e" cm="1">
        <f t="array" aca="1" ref="AM175" ca="1">IF(B175="Yes",YEAR(TODAY()),BLANK())</f>
        <v>#NAME?</v>
      </c>
      <c r="AN175" t="str" cm="1">
        <f t="array" ref="AN175" xml:space="preserve"> _xlfn.IFS(A175&lt;25,"&lt;25",
A175&lt;=35,"25-35",
A175&lt;=45,"36-45",
TRUE,"45+"
)</f>
        <v>25-35</v>
      </c>
      <c r="AO175" t="str" cm="1">
        <f t="array" ref="AO175">_xlfn.IFS(S175&lt;5000,"Low",
S175&lt;=15000,"Medium",
TRUE,"High")</f>
        <v>Low</v>
      </c>
    </row>
    <row r="176" spans="1:41" hidden="1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 t="str">
        <f t="shared" si="6"/>
        <v>Active</v>
      </c>
      <c r="AK176">
        <f t="shared" ca="1" si="7"/>
        <v>2016</v>
      </c>
      <c r="AL176">
        <f t="shared" si="8"/>
        <v>0</v>
      </c>
      <c r="AM176" t="e" cm="1">
        <f t="array" aca="1" ref="AM176" ca="1">IF(B176="Yes",YEAR(TODAY()),BLANK())</f>
        <v>#NAME?</v>
      </c>
      <c r="AN176" t="str" cm="1">
        <f t="array" ref="AN176" xml:space="preserve"> _xlfn.IFS(A176&lt;25,"&lt;25",
A176&lt;=35,"25-35",
A176&lt;=45,"36-45",
TRUE,"45+"
)</f>
        <v>36-45</v>
      </c>
      <c r="AO176" t="str" cm="1">
        <f t="array" ref="AO176">_xlfn.IFS(S176&lt;5000,"Low",
S176&lt;=15000,"Medium",
TRUE,"High")</f>
        <v>Medium</v>
      </c>
    </row>
    <row r="177" spans="1:41" hidden="1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 t="str">
        <f t="shared" si="6"/>
        <v>Active</v>
      </c>
      <c r="AK177">
        <f t="shared" ca="1" si="7"/>
        <v>2006</v>
      </c>
      <c r="AL177">
        <f t="shared" si="8"/>
        <v>0</v>
      </c>
      <c r="AM177" t="e" cm="1">
        <f t="array" aca="1" ref="AM177" ca="1">IF(B177="Yes",YEAR(TODAY()),BLANK())</f>
        <v>#NAME?</v>
      </c>
      <c r="AN177" t="str" cm="1">
        <f t="array" ref="AN177" xml:space="preserve"> _xlfn.IFS(A177&lt;25,"&lt;25",
A177&lt;=35,"25-35",
A177&lt;=45,"36-45",
TRUE,"45+"
)</f>
        <v>45+</v>
      </c>
      <c r="AO177" t="str" cm="1">
        <f t="array" ref="AO177">_xlfn.IFS(S177&lt;5000,"Low",
S177&lt;=15000,"Medium",
TRUE,"High")</f>
        <v>Low</v>
      </c>
    </row>
    <row r="178" spans="1:41" hidden="1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 t="str">
        <f t="shared" si="6"/>
        <v>Active</v>
      </c>
      <c r="AK178">
        <f t="shared" ca="1" si="7"/>
        <v>2021</v>
      </c>
      <c r="AL178">
        <f t="shared" si="8"/>
        <v>0</v>
      </c>
      <c r="AM178" t="e" cm="1">
        <f t="array" aca="1" ref="AM178" ca="1">IF(B178="Yes",YEAR(TODAY()),BLANK())</f>
        <v>#NAME?</v>
      </c>
      <c r="AN178" t="str" cm="1">
        <f t="array" ref="AN178" xml:space="preserve"> _xlfn.IFS(A178&lt;25,"&lt;25",
A178&lt;=35,"25-35",
A178&lt;=45,"36-45",
TRUE,"45+"
)</f>
        <v>25-35</v>
      </c>
      <c r="AO178" t="str" cm="1">
        <f t="array" ref="AO178">_xlfn.IFS(S178&lt;5000,"Low",
S178&lt;=15000,"Medium",
TRUE,"High")</f>
        <v>Low</v>
      </c>
    </row>
    <row r="179" spans="1:41" hidden="1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 t="str">
        <f t="shared" si="6"/>
        <v>Resigned</v>
      </c>
      <c r="AK179">
        <f t="shared" ca="1" si="7"/>
        <v>2024</v>
      </c>
      <c r="AL179">
        <f t="shared" si="8"/>
        <v>1</v>
      </c>
      <c r="AM179" cm="1">
        <f t="array" aca="1" ref="AM179" ca="1">IF(B179="Yes",YEAR(TODAY()),BLANK())</f>
        <v>2025</v>
      </c>
      <c r="AN179" t="str" cm="1">
        <f t="array" ref="AN179" xml:space="preserve"> _xlfn.IFS(A179&lt;25,"&lt;25",
A179&lt;=35,"25-35",
A179&lt;=45,"36-45",
TRUE,"45+"
)</f>
        <v>&lt;25</v>
      </c>
      <c r="AO179" t="str" cm="1">
        <f t="array" ref="AO179">_xlfn.IFS(S179&lt;5000,"Low",
S179&lt;=15000,"Medium",
TRUE,"High")</f>
        <v>Low</v>
      </c>
    </row>
    <row r="180" spans="1:41" hidden="1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 t="str">
        <f t="shared" si="6"/>
        <v>Active</v>
      </c>
      <c r="AK180">
        <f t="shared" ca="1" si="7"/>
        <v>2001</v>
      </c>
      <c r="AL180">
        <f t="shared" si="8"/>
        <v>0</v>
      </c>
      <c r="AM180" t="e" cm="1">
        <f t="array" aca="1" ref="AM180" ca="1">IF(B180="Yes",YEAR(TODAY()),BLANK())</f>
        <v>#NAME?</v>
      </c>
      <c r="AN180" t="str" cm="1">
        <f t="array" ref="AN180" xml:space="preserve"> _xlfn.IFS(A180&lt;25,"&lt;25",
A180&lt;=35,"25-35",
A180&lt;=45,"36-45",
TRUE,"45+"
)</f>
        <v>45+</v>
      </c>
      <c r="AO180" t="str" cm="1">
        <f t="array" ref="AO180">_xlfn.IFS(S180&lt;5000,"Low",
S180&lt;=15000,"Medium",
TRUE,"High")</f>
        <v>Medium</v>
      </c>
    </row>
    <row r="181" spans="1:41" hidden="1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 t="str">
        <f t="shared" si="6"/>
        <v>Active</v>
      </c>
      <c r="AK181">
        <f t="shared" ca="1" si="7"/>
        <v>2023</v>
      </c>
      <c r="AL181">
        <f t="shared" si="8"/>
        <v>0</v>
      </c>
      <c r="AM181" t="e" cm="1">
        <f t="array" aca="1" ref="AM181" ca="1">IF(B181="Yes",YEAR(TODAY()),BLANK())</f>
        <v>#NAME?</v>
      </c>
      <c r="AN181" t="str" cm="1">
        <f t="array" ref="AN181" xml:space="preserve"> _xlfn.IFS(A181&lt;25,"&lt;25",
A181&lt;=35,"25-35",
A181&lt;=45,"36-45",
TRUE,"45+"
)</f>
        <v>36-45</v>
      </c>
      <c r="AO181" t="str" cm="1">
        <f t="array" ref="AO181">_xlfn.IFS(S181&lt;5000,"Low",
S181&lt;=15000,"Medium",
TRUE,"High")</f>
        <v>Low</v>
      </c>
    </row>
    <row r="182" spans="1:41" hidden="1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 t="str">
        <f t="shared" si="6"/>
        <v>Active</v>
      </c>
      <c r="AK182">
        <f t="shared" ca="1" si="7"/>
        <v>2018</v>
      </c>
      <c r="AL182">
        <f t="shared" si="8"/>
        <v>0</v>
      </c>
      <c r="AM182" t="e" cm="1">
        <f t="array" aca="1" ref="AM182" ca="1">IF(B182="Yes",YEAR(TODAY()),BLANK())</f>
        <v>#NAME?</v>
      </c>
      <c r="AN182" t="str" cm="1">
        <f t="array" ref="AN182" xml:space="preserve"> _xlfn.IFS(A182&lt;25,"&lt;25",
A182&lt;=35,"25-35",
A182&lt;=45,"36-45",
TRUE,"45+"
)</f>
        <v>25-35</v>
      </c>
      <c r="AO182" t="str" cm="1">
        <f t="array" ref="AO182">_xlfn.IFS(S182&lt;5000,"Low",
S182&lt;=15000,"Medium",
TRUE,"High")</f>
        <v>Low</v>
      </c>
    </row>
    <row r="183" spans="1:41" hidden="1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 t="str">
        <f t="shared" si="6"/>
        <v>Active</v>
      </c>
      <c r="AK183">
        <f t="shared" ca="1" si="7"/>
        <v>2016</v>
      </c>
      <c r="AL183">
        <f t="shared" si="8"/>
        <v>0</v>
      </c>
      <c r="AM183" t="e" cm="1">
        <f t="array" aca="1" ref="AM183" ca="1">IF(B183="Yes",YEAR(TODAY()),BLANK())</f>
        <v>#NAME?</v>
      </c>
      <c r="AN183" t="str" cm="1">
        <f t="array" ref="AN183" xml:space="preserve"> _xlfn.IFS(A183&lt;25,"&lt;25",
A183&lt;=35,"25-35",
A183&lt;=45,"36-45",
TRUE,"45+"
)</f>
        <v>25-35</v>
      </c>
      <c r="AO183" t="str" cm="1">
        <f t="array" ref="AO183">_xlfn.IFS(S183&lt;5000,"Low",
S183&lt;=15000,"Medium",
TRUE,"High")</f>
        <v>Low</v>
      </c>
    </row>
    <row r="184" spans="1:41" hidden="1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 t="str">
        <f t="shared" si="6"/>
        <v>Resigned</v>
      </c>
      <c r="AK184">
        <f t="shared" ca="1" si="7"/>
        <v>2021</v>
      </c>
      <c r="AL184">
        <f t="shared" si="8"/>
        <v>1</v>
      </c>
      <c r="AM184" cm="1">
        <f t="array" aca="1" ref="AM184" ca="1">IF(B184="Yes",YEAR(TODAY()),BLANK())</f>
        <v>2025</v>
      </c>
      <c r="AN184" t="str" cm="1">
        <f t="array" ref="AN184" xml:space="preserve"> _xlfn.IFS(A184&lt;25,"&lt;25",
A184&lt;=35,"25-35",
A184&lt;=45,"36-45",
TRUE,"45+"
)</f>
        <v>36-45</v>
      </c>
      <c r="AO184" t="str" cm="1">
        <f t="array" ref="AO184">_xlfn.IFS(S184&lt;5000,"Low",
S184&lt;=15000,"Medium",
TRUE,"High")</f>
        <v>Low</v>
      </c>
    </row>
    <row r="185" spans="1:41" hidden="1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 t="str">
        <f t="shared" si="6"/>
        <v>Active</v>
      </c>
      <c r="AK185">
        <f t="shared" ca="1" si="7"/>
        <v>2020</v>
      </c>
      <c r="AL185">
        <f t="shared" si="8"/>
        <v>0</v>
      </c>
      <c r="AM185" t="e" cm="1">
        <f t="array" aca="1" ref="AM185" ca="1">IF(B185="Yes",YEAR(TODAY()),BLANK())</f>
        <v>#NAME?</v>
      </c>
      <c r="AN185" t="str" cm="1">
        <f t="array" ref="AN185" xml:space="preserve"> _xlfn.IFS(A185&lt;25,"&lt;25",
A185&lt;=35,"25-35",
A185&lt;=45,"36-45",
TRUE,"45+"
)</f>
        <v>45+</v>
      </c>
      <c r="AO185" t="str" cm="1">
        <f t="array" ref="AO185">_xlfn.IFS(S185&lt;5000,"Low",
S185&lt;=15000,"Medium",
TRUE,"High")</f>
        <v>Low</v>
      </c>
    </row>
    <row r="186" spans="1:41" hidden="1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 t="str">
        <f t="shared" si="6"/>
        <v>Active</v>
      </c>
      <c r="AK186">
        <f t="shared" ca="1" si="7"/>
        <v>2020</v>
      </c>
      <c r="AL186">
        <f t="shared" si="8"/>
        <v>0</v>
      </c>
      <c r="AM186" t="e" cm="1">
        <f t="array" aca="1" ref="AM186" ca="1">IF(B186="Yes",YEAR(TODAY()),BLANK())</f>
        <v>#NAME?</v>
      </c>
      <c r="AN186" t="str" cm="1">
        <f t="array" ref="AN186" xml:space="preserve"> _xlfn.IFS(A186&lt;25,"&lt;25",
A186&lt;=35,"25-35",
A186&lt;=45,"36-45",
TRUE,"45+"
)</f>
        <v>45+</v>
      </c>
      <c r="AO186" t="str" cm="1">
        <f t="array" ref="AO186">_xlfn.IFS(S186&lt;5000,"Low",
S186&lt;=15000,"Medium",
TRUE,"High")</f>
        <v>Low</v>
      </c>
    </row>
    <row r="187" spans="1:41" hidden="1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 t="str">
        <f t="shared" si="6"/>
        <v>Active</v>
      </c>
      <c r="AK187">
        <f t="shared" ca="1" si="7"/>
        <v>2017</v>
      </c>
      <c r="AL187">
        <f t="shared" si="8"/>
        <v>0</v>
      </c>
      <c r="AM187" t="e" cm="1">
        <f t="array" aca="1" ref="AM187" ca="1">IF(B187="Yes",YEAR(TODAY()),BLANK())</f>
        <v>#NAME?</v>
      </c>
      <c r="AN187" t="str" cm="1">
        <f t="array" ref="AN187" xml:space="preserve"> _xlfn.IFS(A187&lt;25,"&lt;25",
A187&lt;=35,"25-35",
A187&lt;=45,"36-45",
TRUE,"45+"
)</f>
        <v>25-35</v>
      </c>
      <c r="AO187" t="str" cm="1">
        <f t="array" ref="AO187">_xlfn.IFS(S187&lt;5000,"Low",
S187&lt;=15000,"Medium",
TRUE,"High")</f>
        <v>Low</v>
      </c>
    </row>
    <row r="188" spans="1:41" hidden="1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 t="str">
        <f t="shared" si="6"/>
        <v>Active</v>
      </c>
      <c r="AK188">
        <f t="shared" ca="1" si="7"/>
        <v>2004</v>
      </c>
      <c r="AL188">
        <f t="shared" si="8"/>
        <v>0</v>
      </c>
      <c r="AM188" t="e" cm="1">
        <f t="array" aca="1" ref="AM188" ca="1">IF(B188="Yes",YEAR(TODAY()),BLANK())</f>
        <v>#NAME?</v>
      </c>
      <c r="AN188" t="str" cm="1">
        <f t="array" ref="AN188" xml:space="preserve"> _xlfn.IFS(A188&lt;25,"&lt;25",
A188&lt;=35,"25-35",
A188&lt;=45,"36-45",
TRUE,"45+"
)</f>
        <v>36-45</v>
      </c>
      <c r="AO188" t="str" cm="1">
        <f t="array" ref="AO188">_xlfn.IFS(S188&lt;5000,"Low",
S188&lt;=15000,"Medium",
TRUE,"High")</f>
        <v>High</v>
      </c>
    </row>
    <row r="189" spans="1:41" hidden="1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 t="str">
        <f t="shared" si="6"/>
        <v>Active</v>
      </c>
      <c r="AK189">
        <f t="shared" ca="1" si="7"/>
        <v>1989</v>
      </c>
      <c r="AL189">
        <f t="shared" si="8"/>
        <v>0</v>
      </c>
      <c r="AM189" t="e" cm="1">
        <f t="array" aca="1" ref="AM189" ca="1">IF(B189="Yes",YEAR(TODAY()),BLANK())</f>
        <v>#NAME?</v>
      </c>
      <c r="AN189" t="str" cm="1">
        <f t="array" ref="AN189" xml:space="preserve"> _xlfn.IFS(A189&lt;25,"&lt;25",
A189&lt;=35,"25-35",
A189&lt;=45,"36-45",
TRUE,"45+"
)</f>
        <v>45+</v>
      </c>
      <c r="AO189" t="str" cm="1">
        <f t="array" ref="AO189">_xlfn.IFS(S189&lt;5000,"Low",
S189&lt;=15000,"Medium",
TRUE,"High")</f>
        <v>High</v>
      </c>
    </row>
    <row r="190" spans="1:41" hidden="1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 t="str">
        <f t="shared" si="6"/>
        <v>Active</v>
      </c>
      <c r="AK190">
        <f t="shared" ca="1" si="7"/>
        <v>2015</v>
      </c>
      <c r="AL190">
        <f t="shared" si="8"/>
        <v>0</v>
      </c>
      <c r="AM190" t="e" cm="1">
        <f t="array" aca="1" ref="AM190" ca="1">IF(B190="Yes",YEAR(TODAY()),BLANK())</f>
        <v>#NAME?</v>
      </c>
      <c r="AN190" t="str" cm="1">
        <f t="array" ref="AN190" xml:space="preserve"> _xlfn.IFS(A190&lt;25,"&lt;25",
A190&lt;=35,"25-35",
A190&lt;=45,"36-45",
TRUE,"45+"
)</f>
        <v>25-35</v>
      </c>
      <c r="AO190" t="str" cm="1">
        <f t="array" ref="AO190">_xlfn.IFS(S190&lt;5000,"Low",
S190&lt;=15000,"Medium",
TRUE,"High")</f>
        <v>Medium</v>
      </c>
    </row>
    <row r="191" spans="1:41" hidden="1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 t="str">
        <f t="shared" si="6"/>
        <v>Active</v>
      </c>
      <c r="AK191">
        <f t="shared" ca="1" si="7"/>
        <v>2004</v>
      </c>
      <c r="AL191">
        <f t="shared" si="8"/>
        <v>0</v>
      </c>
      <c r="AM191" t="e" cm="1">
        <f t="array" aca="1" ref="AM191" ca="1">IF(B191="Yes",YEAR(TODAY()),BLANK())</f>
        <v>#NAME?</v>
      </c>
      <c r="AN191" t="str" cm="1">
        <f t="array" ref="AN191" xml:space="preserve"> _xlfn.IFS(A191&lt;25,"&lt;25",
A191&lt;=35,"25-35",
A191&lt;=45,"36-45",
TRUE,"45+"
)</f>
        <v>45+</v>
      </c>
      <c r="AO191" t="str" cm="1">
        <f t="array" ref="AO191">_xlfn.IFS(S191&lt;5000,"Low",
S191&lt;=15000,"Medium",
TRUE,"High")</f>
        <v>Medium</v>
      </c>
    </row>
    <row r="192" spans="1:41" hidden="1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 t="str">
        <f t="shared" si="6"/>
        <v>Active</v>
      </c>
      <c r="AK192">
        <f t="shared" ca="1" si="7"/>
        <v>1991</v>
      </c>
      <c r="AL192">
        <f t="shared" si="8"/>
        <v>0</v>
      </c>
      <c r="AM192" t="e" cm="1">
        <f t="array" aca="1" ref="AM192" ca="1">IF(B192="Yes",YEAR(TODAY()),BLANK())</f>
        <v>#NAME?</v>
      </c>
      <c r="AN192" t="str" cm="1">
        <f t="array" ref="AN192" xml:space="preserve"> _xlfn.IFS(A192&lt;25,"&lt;25",
A192&lt;=35,"25-35",
A192&lt;=45,"36-45",
TRUE,"45+"
)</f>
        <v>45+</v>
      </c>
      <c r="AO192" t="str" cm="1">
        <f t="array" ref="AO192">_xlfn.IFS(S192&lt;5000,"Low",
S192&lt;=15000,"Medium",
TRUE,"High")</f>
        <v>High</v>
      </c>
    </row>
    <row r="193" spans="1:41" hidden="1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 t="str">
        <f t="shared" si="6"/>
        <v>Active</v>
      </c>
      <c r="AK193">
        <f t="shared" ca="1" si="7"/>
        <v>2018</v>
      </c>
      <c r="AL193">
        <f t="shared" si="8"/>
        <v>0</v>
      </c>
      <c r="AM193" t="e" cm="1">
        <f t="array" aca="1" ref="AM193" ca="1">IF(B193="Yes",YEAR(TODAY()),BLANK())</f>
        <v>#NAME?</v>
      </c>
      <c r="AN193" t="str" cm="1">
        <f t="array" ref="AN193" xml:space="preserve"> _xlfn.IFS(A193&lt;25,"&lt;25",
A193&lt;=35,"25-35",
A193&lt;=45,"36-45",
TRUE,"45+"
)</f>
        <v>25-35</v>
      </c>
      <c r="AO193" t="str" cm="1">
        <f t="array" ref="AO193">_xlfn.IFS(S193&lt;5000,"Low",
S193&lt;=15000,"Medium",
TRUE,"High")</f>
        <v>Low</v>
      </c>
    </row>
    <row r="194" spans="1:41" hidden="1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 t="str">
        <f t="shared" si="6"/>
        <v>Resigned</v>
      </c>
      <c r="AK194">
        <f t="shared" ca="1" si="7"/>
        <v>2017</v>
      </c>
      <c r="AL194">
        <f t="shared" si="8"/>
        <v>1</v>
      </c>
      <c r="AM194" cm="1">
        <f t="array" aca="1" ref="AM194" ca="1">IF(B194="Yes",YEAR(TODAY()),BLANK())</f>
        <v>2025</v>
      </c>
      <c r="AN194" t="str" cm="1">
        <f t="array" ref="AN194" xml:space="preserve"> _xlfn.IFS(A194&lt;25,"&lt;25",
A194&lt;=35,"25-35",
A194&lt;=45,"36-45",
TRUE,"45+"
)</f>
        <v>25-35</v>
      </c>
      <c r="AO194" t="str" cm="1">
        <f t="array" ref="AO194">_xlfn.IFS(S194&lt;5000,"Low",
S194&lt;=15000,"Medium",
TRUE,"High")</f>
        <v>Medium</v>
      </c>
    </row>
    <row r="195" spans="1:41" hidden="1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 t="str">
        <f t="shared" ref="AJ195:AJ258" si="9">IF(B195="Yes", "Resigned","Active")</f>
        <v>Active</v>
      </c>
      <c r="AK195">
        <f t="shared" ref="AK195:AK258" ca="1" si="10">YEAR(TODAY()) - AC195</f>
        <v>2018</v>
      </c>
      <c r="AL195">
        <f t="shared" ref="AL195:AL258" si="11">IF(B195="Yes",1,0)</f>
        <v>0</v>
      </c>
      <c r="AM195" t="e" cm="1">
        <f t="array" aca="1" ref="AM195" ca="1">IF(B195="Yes",YEAR(TODAY()),BLANK())</f>
        <v>#NAME?</v>
      </c>
      <c r="AN195" t="str" cm="1">
        <f t="array" ref="AN195" xml:space="preserve"> _xlfn.IFS(A195&lt;25,"&lt;25",
A195&lt;=35,"25-35",
A195&lt;=45,"36-45",
TRUE,"45+"
)</f>
        <v>36-45</v>
      </c>
      <c r="AO195" t="str" cm="1">
        <f t="array" ref="AO195">_xlfn.IFS(S195&lt;5000,"Low",
S195&lt;=15000,"Medium",
TRUE,"High")</f>
        <v>Low</v>
      </c>
    </row>
    <row r="196" spans="1:41" hidden="1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 t="str">
        <f t="shared" si="9"/>
        <v>Active</v>
      </c>
      <c r="AK196">
        <f t="shared" ca="1" si="10"/>
        <v>2003</v>
      </c>
      <c r="AL196">
        <f t="shared" si="11"/>
        <v>0</v>
      </c>
      <c r="AM196" t="e" cm="1">
        <f t="array" aca="1" ref="AM196" ca="1">IF(B196="Yes",YEAR(TODAY()),BLANK())</f>
        <v>#NAME?</v>
      </c>
      <c r="AN196" t="str" cm="1">
        <f t="array" ref="AN196" xml:space="preserve"> _xlfn.IFS(A196&lt;25,"&lt;25",
A196&lt;=35,"25-35",
A196&lt;=45,"36-45",
TRUE,"45+"
)</f>
        <v>36-45</v>
      </c>
      <c r="AO196" t="str" cm="1">
        <f t="array" ref="AO196">_xlfn.IFS(S196&lt;5000,"Low",
S196&lt;=15000,"Medium",
TRUE,"High")</f>
        <v>High</v>
      </c>
    </row>
    <row r="197" spans="1:41" hidden="1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 t="str">
        <f t="shared" si="9"/>
        <v>Active</v>
      </c>
      <c r="AK197">
        <f t="shared" ca="1" si="10"/>
        <v>2017</v>
      </c>
      <c r="AL197">
        <f t="shared" si="11"/>
        <v>0</v>
      </c>
      <c r="AM197" t="e" cm="1">
        <f t="array" aca="1" ref="AM197" ca="1">IF(B197="Yes",YEAR(TODAY()),BLANK())</f>
        <v>#NAME?</v>
      </c>
      <c r="AN197" t="str" cm="1">
        <f t="array" ref="AN197" xml:space="preserve"> _xlfn.IFS(A197&lt;25,"&lt;25",
A197&lt;=35,"25-35",
A197&lt;=45,"36-45",
TRUE,"45+"
)</f>
        <v>36-45</v>
      </c>
      <c r="AO197" t="str" cm="1">
        <f t="array" ref="AO197">_xlfn.IFS(S197&lt;5000,"Low",
S197&lt;=15000,"Medium",
TRUE,"High")</f>
        <v>Low</v>
      </c>
    </row>
    <row r="198" spans="1:41" hidden="1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 t="str">
        <f t="shared" si="9"/>
        <v>Active</v>
      </c>
      <c r="AK198">
        <f t="shared" ca="1" si="10"/>
        <v>2015</v>
      </c>
      <c r="AL198">
        <f t="shared" si="11"/>
        <v>0</v>
      </c>
      <c r="AM198" t="e" cm="1">
        <f t="array" aca="1" ref="AM198" ca="1">IF(B198="Yes",YEAR(TODAY()),BLANK())</f>
        <v>#NAME?</v>
      </c>
      <c r="AN198" t="str" cm="1">
        <f t="array" ref="AN198" xml:space="preserve"> _xlfn.IFS(A198&lt;25,"&lt;25",
A198&lt;=35,"25-35",
A198&lt;=45,"36-45",
TRUE,"45+"
)</f>
        <v>25-35</v>
      </c>
      <c r="AO198" t="str" cm="1">
        <f t="array" ref="AO198">_xlfn.IFS(S198&lt;5000,"Low",
S198&lt;=15000,"Medium",
TRUE,"High")</f>
        <v>Low</v>
      </c>
    </row>
    <row r="199" spans="1:41" hidden="1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 t="str">
        <f t="shared" si="9"/>
        <v>Active</v>
      </c>
      <c r="AK199">
        <f t="shared" ca="1" si="10"/>
        <v>2014</v>
      </c>
      <c r="AL199">
        <f t="shared" si="11"/>
        <v>0</v>
      </c>
      <c r="AM199" t="e" cm="1">
        <f t="array" aca="1" ref="AM199" ca="1">IF(B199="Yes",YEAR(TODAY()),BLANK())</f>
        <v>#NAME?</v>
      </c>
      <c r="AN199" t="str" cm="1">
        <f t="array" ref="AN199" xml:space="preserve"> _xlfn.IFS(A199&lt;25,"&lt;25",
A199&lt;=35,"25-35",
A199&lt;=45,"36-45",
TRUE,"45+"
)</f>
        <v>36-45</v>
      </c>
      <c r="AO199" t="str" cm="1">
        <f t="array" ref="AO199">_xlfn.IFS(S199&lt;5000,"Low",
S199&lt;=15000,"Medium",
TRUE,"High")</f>
        <v>Medium</v>
      </c>
    </row>
    <row r="200" spans="1:41" hidden="1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 t="str">
        <f t="shared" si="9"/>
        <v>Active</v>
      </c>
      <c r="AK200">
        <f t="shared" ca="1" si="10"/>
        <v>2011</v>
      </c>
      <c r="AL200">
        <f t="shared" si="11"/>
        <v>0</v>
      </c>
      <c r="AM200" t="e" cm="1">
        <f t="array" aca="1" ref="AM200" ca="1">IF(B200="Yes",YEAR(TODAY()),BLANK())</f>
        <v>#NAME?</v>
      </c>
      <c r="AN200" t="str" cm="1">
        <f t="array" ref="AN200" xml:space="preserve"> _xlfn.IFS(A200&lt;25,"&lt;25",
A200&lt;=35,"25-35",
A200&lt;=45,"36-45",
TRUE,"45+"
)</f>
        <v>36-45</v>
      </c>
      <c r="AO200" t="str" cm="1">
        <f t="array" ref="AO200">_xlfn.IFS(S200&lt;5000,"Low",
S200&lt;=15000,"Medium",
TRUE,"High")</f>
        <v>Medium</v>
      </c>
    </row>
    <row r="201" spans="1:41" hidden="1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 t="str">
        <f t="shared" si="9"/>
        <v>Active</v>
      </c>
      <c r="AK201">
        <f t="shared" ca="1" si="10"/>
        <v>2016</v>
      </c>
      <c r="AL201">
        <f t="shared" si="11"/>
        <v>0</v>
      </c>
      <c r="AM201" t="e" cm="1">
        <f t="array" aca="1" ref="AM201" ca="1">IF(B201="Yes",YEAR(TODAY()),BLANK())</f>
        <v>#NAME?</v>
      </c>
      <c r="AN201" t="str" cm="1">
        <f t="array" ref="AN201" xml:space="preserve"> _xlfn.IFS(A201&lt;25,"&lt;25",
A201&lt;=35,"25-35",
A201&lt;=45,"36-45",
TRUE,"45+"
)</f>
        <v>36-45</v>
      </c>
      <c r="AO201" t="str" cm="1">
        <f t="array" ref="AO201">_xlfn.IFS(S201&lt;5000,"Low",
S201&lt;=15000,"Medium",
TRUE,"High")</f>
        <v>Medium</v>
      </c>
    </row>
    <row r="202" spans="1:41" hidden="1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 t="str">
        <f t="shared" si="9"/>
        <v>Active</v>
      </c>
      <c r="AK202">
        <f t="shared" ca="1" si="10"/>
        <v>2019</v>
      </c>
      <c r="AL202">
        <f t="shared" si="11"/>
        <v>0</v>
      </c>
      <c r="AM202" t="e" cm="1">
        <f t="array" aca="1" ref="AM202" ca="1">IF(B202="Yes",YEAR(TODAY()),BLANK())</f>
        <v>#NAME?</v>
      </c>
      <c r="AN202" t="str" cm="1">
        <f t="array" ref="AN202" xml:space="preserve"> _xlfn.IFS(A202&lt;25,"&lt;25",
A202&lt;=35,"25-35",
A202&lt;=45,"36-45",
TRUE,"45+"
)</f>
        <v>25-35</v>
      </c>
      <c r="AO202" t="str" cm="1">
        <f t="array" ref="AO202">_xlfn.IFS(S202&lt;5000,"Low",
S202&lt;=15000,"Medium",
TRUE,"High")</f>
        <v>Low</v>
      </c>
    </row>
    <row r="203" spans="1:41" hidden="1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 t="str">
        <f t="shared" si="9"/>
        <v>Active</v>
      </c>
      <c r="AK203">
        <f t="shared" ca="1" si="10"/>
        <v>2018</v>
      </c>
      <c r="AL203">
        <f t="shared" si="11"/>
        <v>0</v>
      </c>
      <c r="AM203" t="e" cm="1">
        <f t="array" aca="1" ref="AM203" ca="1">IF(B203="Yes",YEAR(TODAY()),BLANK())</f>
        <v>#NAME?</v>
      </c>
      <c r="AN203" t="str" cm="1">
        <f t="array" ref="AN203" xml:space="preserve"> _xlfn.IFS(A203&lt;25,"&lt;25",
A203&lt;=35,"25-35",
A203&lt;=45,"36-45",
TRUE,"45+"
)</f>
        <v>45+</v>
      </c>
      <c r="AO203" t="str" cm="1">
        <f t="array" ref="AO203">_xlfn.IFS(S203&lt;5000,"Low",
S203&lt;=15000,"Medium",
TRUE,"High")</f>
        <v>Medium</v>
      </c>
    </row>
    <row r="204" spans="1:41" hidden="1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 t="str">
        <f t="shared" si="9"/>
        <v>Active</v>
      </c>
      <c r="AK204">
        <f t="shared" ca="1" si="10"/>
        <v>2020</v>
      </c>
      <c r="AL204">
        <f t="shared" si="11"/>
        <v>0</v>
      </c>
      <c r="AM204" t="e" cm="1">
        <f t="array" aca="1" ref="AM204" ca="1">IF(B204="Yes",YEAR(TODAY()),BLANK())</f>
        <v>#NAME?</v>
      </c>
      <c r="AN204" t="str" cm="1">
        <f t="array" ref="AN204" xml:space="preserve"> _xlfn.IFS(A204&lt;25,"&lt;25",
A204&lt;=35,"25-35",
A204&lt;=45,"36-45",
TRUE,"45+"
)</f>
        <v>25-35</v>
      </c>
      <c r="AO204" t="str" cm="1">
        <f t="array" ref="AO204">_xlfn.IFS(S204&lt;5000,"Low",
S204&lt;=15000,"Medium",
TRUE,"High")</f>
        <v>Low</v>
      </c>
    </row>
    <row r="205" spans="1:41" hidden="1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 t="str">
        <f t="shared" si="9"/>
        <v>Active</v>
      </c>
      <c r="AK205">
        <f t="shared" ca="1" si="10"/>
        <v>2010</v>
      </c>
      <c r="AL205">
        <f t="shared" si="11"/>
        <v>0</v>
      </c>
      <c r="AM205" t="e" cm="1">
        <f t="array" aca="1" ref="AM205" ca="1">IF(B205="Yes",YEAR(TODAY()),BLANK())</f>
        <v>#NAME?</v>
      </c>
      <c r="AN205" t="str" cm="1">
        <f t="array" ref="AN205" xml:space="preserve"> _xlfn.IFS(A205&lt;25,"&lt;25",
A205&lt;=35,"25-35",
A205&lt;=45,"36-45",
TRUE,"45+"
)</f>
        <v>36-45</v>
      </c>
      <c r="AO205" t="str" cm="1">
        <f t="array" ref="AO205">_xlfn.IFS(S205&lt;5000,"Low",
S205&lt;=15000,"Medium",
TRUE,"High")</f>
        <v>Low</v>
      </c>
    </row>
    <row r="206" spans="1:41" hidden="1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 t="str">
        <f t="shared" si="9"/>
        <v>Resigned</v>
      </c>
      <c r="AK206">
        <f t="shared" ca="1" si="10"/>
        <v>2008</v>
      </c>
      <c r="AL206">
        <f t="shared" si="11"/>
        <v>1</v>
      </c>
      <c r="AM206" cm="1">
        <f t="array" aca="1" ref="AM206" ca="1">IF(B206="Yes",YEAR(TODAY()),BLANK())</f>
        <v>2025</v>
      </c>
      <c r="AN206" t="str" cm="1">
        <f t="array" ref="AN206" xml:space="preserve"> _xlfn.IFS(A206&lt;25,"&lt;25",
A206&lt;=35,"25-35",
A206&lt;=45,"36-45",
TRUE,"45+"
)</f>
        <v>36-45</v>
      </c>
      <c r="AO206" t="str" cm="1">
        <f t="array" ref="AO206">_xlfn.IFS(S206&lt;5000,"Low",
S206&lt;=15000,"Medium",
TRUE,"High")</f>
        <v>Medium</v>
      </c>
    </row>
    <row r="207" spans="1:41" hidden="1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 t="str">
        <f t="shared" si="9"/>
        <v>Resigned</v>
      </c>
      <c r="AK207">
        <f t="shared" ca="1" si="10"/>
        <v>2015</v>
      </c>
      <c r="AL207">
        <f t="shared" si="11"/>
        <v>1</v>
      </c>
      <c r="AM207" cm="1">
        <f t="array" aca="1" ref="AM207" ca="1">IF(B207="Yes",YEAR(TODAY()),BLANK())</f>
        <v>2025</v>
      </c>
      <c r="AN207" t="str" cm="1">
        <f t="array" ref="AN207" xml:space="preserve"> _xlfn.IFS(A207&lt;25,"&lt;25",
A207&lt;=35,"25-35",
A207&lt;=45,"36-45",
TRUE,"45+"
)</f>
        <v>25-35</v>
      </c>
      <c r="AO207" t="str" cm="1">
        <f t="array" ref="AO207">_xlfn.IFS(S207&lt;5000,"Low",
S207&lt;=15000,"Medium",
TRUE,"High")</f>
        <v>Medium</v>
      </c>
    </row>
    <row r="208" spans="1:41" hidden="1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 t="str">
        <f t="shared" si="9"/>
        <v>Active</v>
      </c>
      <c r="AK208">
        <f t="shared" ca="1" si="10"/>
        <v>2021</v>
      </c>
      <c r="AL208">
        <f t="shared" si="11"/>
        <v>0</v>
      </c>
      <c r="AM208" t="e" cm="1">
        <f t="array" aca="1" ref="AM208" ca="1">IF(B208="Yes",YEAR(TODAY()),BLANK())</f>
        <v>#NAME?</v>
      </c>
      <c r="AN208" t="str" cm="1">
        <f t="array" ref="AN208" xml:space="preserve"> _xlfn.IFS(A208&lt;25,"&lt;25",
A208&lt;=35,"25-35",
A208&lt;=45,"36-45",
TRUE,"45+"
)</f>
        <v>&lt;25</v>
      </c>
      <c r="AO208" t="str" cm="1">
        <f t="array" ref="AO208">_xlfn.IFS(S208&lt;5000,"Low",
S208&lt;=15000,"Medium",
TRUE,"High")</f>
        <v>Low</v>
      </c>
    </row>
    <row r="209" spans="1:41" hidden="1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 t="str">
        <f t="shared" si="9"/>
        <v>Active</v>
      </c>
      <c r="AK209">
        <f t="shared" ca="1" si="10"/>
        <v>2017</v>
      </c>
      <c r="AL209">
        <f t="shared" si="11"/>
        <v>0</v>
      </c>
      <c r="AM209" t="e" cm="1">
        <f t="array" aca="1" ref="AM209" ca="1">IF(B209="Yes",YEAR(TODAY()),BLANK())</f>
        <v>#NAME?</v>
      </c>
      <c r="AN209" t="str" cm="1">
        <f t="array" ref="AN209" xml:space="preserve"> _xlfn.IFS(A209&lt;25,"&lt;25",
A209&lt;=35,"25-35",
A209&lt;=45,"36-45",
TRUE,"45+"
)</f>
        <v>36-45</v>
      </c>
      <c r="AO209" t="str" cm="1">
        <f t="array" ref="AO209">_xlfn.IFS(S209&lt;5000,"Low",
S209&lt;=15000,"Medium",
TRUE,"High")</f>
        <v>Low</v>
      </c>
    </row>
    <row r="210" spans="1:41" hidden="1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 t="str">
        <f t="shared" si="9"/>
        <v>Active</v>
      </c>
      <c r="AK210">
        <f t="shared" ca="1" si="10"/>
        <v>2020</v>
      </c>
      <c r="AL210">
        <f t="shared" si="11"/>
        <v>0</v>
      </c>
      <c r="AM210" t="e" cm="1">
        <f t="array" aca="1" ref="AM210" ca="1">IF(B210="Yes",YEAR(TODAY()),BLANK())</f>
        <v>#NAME?</v>
      </c>
      <c r="AN210" t="str" cm="1">
        <f t="array" ref="AN210" xml:space="preserve"> _xlfn.IFS(A210&lt;25,"&lt;25",
A210&lt;=35,"25-35",
A210&lt;=45,"36-45",
TRUE,"45+"
)</f>
        <v>36-45</v>
      </c>
      <c r="AO210" t="str" cm="1">
        <f t="array" ref="AO210">_xlfn.IFS(S210&lt;5000,"Low",
S210&lt;=15000,"Medium",
TRUE,"High")</f>
        <v>Low</v>
      </c>
    </row>
    <row r="211" spans="1:41" hidden="1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 t="str">
        <f t="shared" si="9"/>
        <v>Active</v>
      </c>
      <c r="AK211">
        <f t="shared" ca="1" si="10"/>
        <v>2008</v>
      </c>
      <c r="AL211">
        <f t="shared" si="11"/>
        <v>0</v>
      </c>
      <c r="AM211" t="e" cm="1">
        <f t="array" aca="1" ref="AM211" ca="1">IF(B211="Yes",YEAR(TODAY()),BLANK())</f>
        <v>#NAME?</v>
      </c>
      <c r="AN211" t="str" cm="1">
        <f t="array" ref="AN211" xml:space="preserve"> _xlfn.IFS(A211&lt;25,"&lt;25",
A211&lt;=35,"25-35",
A211&lt;=45,"36-45",
TRUE,"45+"
)</f>
        <v>45+</v>
      </c>
      <c r="AO211" t="str" cm="1">
        <f t="array" ref="AO211">_xlfn.IFS(S211&lt;5000,"Low",
S211&lt;=15000,"Medium",
TRUE,"High")</f>
        <v>Medium</v>
      </c>
    </row>
    <row r="212" spans="1:41" hidden="1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 t="str">
        <f t="shared" si="9"/>
        <v>Resigned</v>
      </c>
      <c r="AK212">
        <f t="shared" ca="1" si="10"/>
        <v>2011</v>
      </c>
      <c r="AL212">
        <f t="shared" si="11"/>
        <v>1</v>
      </c>
      <c r="AM212" cm="1">
        <f t="array" aca="1" ref="AM212" ca="1">IF(B212="Yes",YEAR(TODAY()),BLANK())</f>
        <v>2025</v>
      </c>
      <c r="AN212" t="str" cm="1">
        <f t="array" ref="AN212" xml:space="preserve"> _xlfn.IFS(A212&lt;25,"&lt;25",
A212&lt;=35,"25-35",
A212&lt;=45,"36-45",
TRUE,"45+"
)</f>
        <v>25-35</v>
      </c>
      <c r="AO212" t="str" cm="1">
        <f t="array" ref="AO212">_xlfn.IFS(S212&lt;5000,"Low",
S212&lt;=15000,"Medium",
TRUE,"High")</f>
        <v>Medium</v>
      </c>
    </row>
    <row r="213" spans="1:41" hidden="1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 t="str">
        <f t="shared" si="9"/>
        <v>Active</v>
      </c>
      <c r="AK213">
        <f t="shared" ca="1" si="10"/>
        <v>2013</v>
      </c>
      <c r="AL213">
        <f t="shared" si="11"/>
        <v>0</v>
      </c>
      <c r="AM213" t="e" cm="1">
        <f t="array" aca="1" ref="AM213" ca="1">IF(B213="Yes",YEAR(TODAY()),BLANK())</f>
        <v>#NAME?</v>
      </c>
      <c r="AN213" t="str" cm="1">
        <f t="array" ref="AN213" xml:space="preserve"> _xlfn.IFS(A213&lt;25,"&lt;25",
A213&lt;=35,"25-35",
A213&lt;=45,"36-45",
TRUE,"45+"
)</f>
        <v>25-35</v>
      </c>
      <c r="AO213" t="str" cm="1">
        <f t="array" ref="AO213">_xlfn.IFS(S213&lt;5000,"Low",
S213&lt;=15000,"Medium",
TRUE,"High")</f>
        <v>Medium</v>
      </c>
    </row>
    <row r="214" spans="1:41" hidden="1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 t="str">
        <f t="shared" si="9"/>
        <v>Active</v>
      </c>
      <c r="AK214">
        <f t="shared" ca="1" si="10"/>
        <v>2018</v>
      </c>
      <c r="AL214">
        <f t="shared" si="11"/>
        <v>0</v>
      </c>
      <c r="AM214" t="e" cm="1">
        <f t="array" aca="1" ref="AM214" ca="1">IF(B214="Yes",YEAR(TODAY()),BLANK())</f>
        <v>#NAME?</v>
      </c>
      <c r="AN214" t="str" cm="1">
        <f t="array" ref="AN214" xml:space="preserve"> _xlfn.IFS(A214&lt;25,"&lt;25",
A214&lt;=35,"25-35",
A214&lt;=45,"36-45",
TRUE,"45+"
)</f>
        <v>25-35</v>
      </c>
      <c r="AO214" t="str" cm="1">
        <f t="array" ref="AO214">_xlfn.IFS(S214&lt;5000,"Low",
S214&lt;=15000,"Medium",
TRUE,"High")</f>
        <v>Medium</v>
      </c>
    </row>
    <row r="215" spans="1:41" hidden="1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 t="str">
        <f t="shared" si="9"/>
        <v>Active</v>
      </c>
      <c r="AK215">
        <f t="shared" ca="1" si="10"/>
        <v>2009</v>
      </c>
      <c r="AL215">
        <f t="shared" si="11"/>
        <v>0</v>
      </c>
      <c r="AM215" t="e" cm="1">
        <f t="array" aca="1" ref="AM215" ca="1">IF(B215="Yes",YEAR(TODAY()),BLANK())</f>
        <v>#NAME?</v>
      </c>
      <c r="AN215" t="str" cm="1">
        <f t="array" ref="AN215" xml:space="preserve"> _xlfn.IFS(A215&lt;25,"&lt;25",
A215&lt;=35,"25-35",
A215&lt;=45,"36-45",
TRUE,"45+"
)</f>
        <v>45+</v>
      </c>
      <c r="AO215" t="str" cm="1">
        <f t="array" ref="AO215">_xlfn.IFS(S215&lt;5000,"Low",
S215&lt;=15000,"Medium",
TRUE,"High")</f>
        <v>Medium</v>
      </c>
    </row>
    <row r="216" spans="1:41" hidden="1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 t="str">
        <f t="shared" si="9"/>
        <v>Resigned</v>
      </c>
      <c r="AK216">
        <f t="shared" ca="1" si="10"/>
        <v>2017</v>
      </c>
      <c r="AL216">
        <f t="shared" si="11"/>
        <v>1</v>
      </c>
      <c r="AM216" cm="1">
        <f t="array" aca="1" ref="AM216" ca="1">IF(B216="Yes",YEAR(TODAY()),BLANK())</f>
        <v>2025</v>
      </c>
      <c r="AN216" t="str" cm="1">
        <f t="array" ref="AN216" xml:space="preserve"> _xlfn.IFS(A216&lt;25,"&lt;25",
A216&lt;=35,"25-35",
A216&lt;=45,"36-45",
TRUE,"45+"
)</f>
        <v>25-35</v>
      </c>
      <c r="AO216" t="str" cm="1">
        <f t="array" ref="AO216">_xlfn.IFS(S216&lt;5000,"Low",
S216&lt;=15000,"Medium",
TRUE,"High")</f>
        <v>Low</v>
      </c>
    </row>
    <row r="217" spans="1:41" hidden="1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 t="str">
        <f t="shared" si="9"/>
        <v>Active</v>
      </c>
      <c r="AK217">
        <f t="shared" ca="1" si="10"/>
        <v>2009</v>
      </c>
      <c r="AL217">
        <f t="shared" si="11"/>
        <v>0</v>
      </c>
      <c r="AM217" t="e" cm="1">
        <f t="array" aca="1" ref="AM217" ca="1">IF(B217="Yes",YEAR(TODAY()),BLANK())</f>
        <v>#NAME?</v>
      </c>
      <c r="AN217" t="str" cm="1">
        <f t="array" ref="AN217" xml:space="preserve"> _xlfn.IFS(A217&lt;25,"&lt;25",
A217&lt;=35,"25-35",
A217&lt;=45,"36-45",
TRUE,"45+"
)</f>
        <v>36-45</v>
      </c>
      <c r="AO217" t="str" cm="1">
        <f t="array" ref="AO217">_xlfn.IFS(S217&lt;5000,"Low",
S217&lt;=15000,"Medium",
TRUE,"High")</f>
        <v>Medium</v>
      </c>
    </row>
    <row r="218" spans="1:41" hidden="1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 t="str">
        <f t="shared" si="9"/>
        <v>Resigned</v>
      </c>
      <c r="AK218">
        <f t="shared" ca="1" si="10"/>
        <v>2016</v>
      </c>
      <c r="AL218">
        <f t="shared" si="11"/>
        <v>1</v>
      </c>
      <c r="AM218" cm="1">
        <f t="array" aca="1" ref="AM218" ca="1">IF(B218="Yes",YEAR(TODAY()),BLANK())</f>
        <v>2025</v>
      </c>
      <c r="AN218" t="str" cm="1">
        <f t="array" ref="AN218" xml:space="preserve"> _xlfn.IFS(A218&lt;25,"&lt;25",
A218&lt;=35,"25-35",
A218&lt;=45,"36-45",
TRUE,"45+"
)</f>
        <v>25-35</v>
      </c>
      <c r="AO218" t="str" cm="1">
        <f t="array" ref="AO218">_xlfn.IFS(S218&lt;5000,"Low",
S218&lt;=15000,"Medium",
TRUE,"High")</f>
        <v>Medium</v>
      </c>
    </row>
    <row r="219" spans="1:41" hidden="1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 t="str">
        <f t="shared" si="9"/>
        <v>Resigned</v>
      </c>
      <c r="AK219">
        <f t="shared" ca="1" si="10"/>
        <v>2018</v>
      </c>
      <c r="AL219">
        <f t="shared" si="11"/>
        <v>1</v>
      </c>
      <c r="AM219" cm="1">
        <f t="array" aca="1" ref="AM219" ca="1">IF(B219="Yes",YEAR(TODAY()),BLANK())</f>
        <v>2025</v>
      </c>
      <c r="AN219" t="str" cm="1">
        <f t="array" ref="AN219" xml:space="preserve"> _xlfn.IFS(A219&lt;25,"&lt;25",
A219&lt;=35,"25-35",
A219&lt;=45,"36-45",
TRUE,"45+"
)</f>
        <v>25-35</v>
      </c>
      <c r="AO219" t="str" cm="1">
        <f t="array" ref="AO219">_xlfn.IFS(S219&lt;5000,"Low",
S219&lt;=15000,"Medium",
TRUE,"High")</f>
        <v>Low</v>
      </c>
    </row>
    <row r="220" spans="1:41" hidden="1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 t="str">
        <f t="shared" si="9"/>
        <v>Active</v>
      </c>
      <c r="AK220">
        <f t="shared" ca="1" si="10"/>
        <v>2002</v>
      </c>
      <c r="AL220">
        <f t="shared" si="11"/>
        <v>0</v>
      </c>
      <c r="AM220" t="e" cm="1">
        <f t="array" aca="1" ref="AM220" ca="1">IF(B220="Yes",YEAR(TODAY()),BLANK())</f>
        <v>#NAME?</v>
      </c>
      <c r="AN220" t="str" cm="1">
        <f t="array" ref="AN220" xml:space="preserve"> _xlfn.IFS(A220&lt;25,"&lt;25",
A220&lt;=35,"25-35",
A220&lt;=45,"36-45",
TRUE,"45+"
)</f>
        <v>36-45</v>
      </c>
      <c r="AO220" t="str" cm="1">
        <f t="array" ref="AO220">_xlfn.IFS(S220&lt;5000,"Low",
S220&lt;=15000,"Medium",
TRUE,"High")</f>
        <v>Medium</v>
      </c>
    </row>
    <row r="221" spans="1:41" hidden="1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 t="str">
        <f t="shared" si="9"/>
        <v>Active</v>
      </c>
      <c r="AK221">
        <f t="shared" ca="1" si="10"/>
        <v>2009</v>
      </c>
      <c r="AL221">
        <f t="shared" si="11"/>
        <v>0</v>
      </c>
      <c r="AM221" t="e" cm="1">
        <f t="array" aca="1" ref="AM221" ca="1">IF(B221="Yes",YEAR(TODAY()),BLANK())</f>
        <v>#NAME?</v>
      </c>
      <c r="AN221" t="str" cm="1">
        <f t="array" ref="AN221" xml:space="preserve"> _xlfn.IFS(A221&lt;25,"&lt;25",
A221&lt;=35,"25-35",
A221&lt;=45,"36-45",
TRUE,"45+"
)</f>
        <v>45+</v>
      </c>
      <c r="AO221" t="str" cm="1">
        <f t="array" ref="AO221">_xlfn.IFS(S221&lt;5000,"Low",
S221&lt;=15000,"Medium",
TRUE,"High")</f>
        <v>Medium</v>
      </c>
    </row>
    <row r="222" spans="1:41" hidden="1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 t="str">
        <f t="shared" si="9"/>
        <v>Active</v>
      </c>
      <c r="AK222">
        <f t="shared" ca="1" si="10"/>
        <v>2009</v>
      </c>
      <c r="AL222">
        <f t="shared" si="11"/>
        <v>0</v>
      </c>
      <c r="AM222" t="e" cm="1">
        <f t="array" aca="1" ref="AM222" ca="1">IF(B222="Yes",YEAR(TODAY()),BLANK())</f>
        <v>#NAME?</v>
      </c>
      <c r="AN222" t="str" cm="1">
        <f t="array" ref="AN222" xml:space="preserve"> _xlfn.IFS(A222&lt;25,"&lt;25",
A222&lt;=35,"25-35",
A222&lt;=45,"36-45",
TRUE,"45+"
)</f>
        <v>36-45</v>
      </c>
      <c r="AO222" t="str" cm="1">
        <f t="array" ref="AO222">_xlfn.IFS(S222&lt;5000,"Low",
S222&lt;=15000,"Medium",
TRUE,"High")</f>
        <v>Medium</v>
      </c>
    </row>
    <row r="223" spans="1:41" hidden="1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 t="str">
        <f t="shared" si="9"/>
        <v>Active</v>
      </c>
      <c r="AK223">
        <f t="shared" ca="1" si="10"/>
        <v>2018</v>
      </c>
      <c r="AL223">
        <f t="shared" si="11"/>
        <v>0</v>
      </c>
      <c r="AM223" t="e" cm="1">
        <f t="array" aca="1" ref="AM223" ca="1">IF(B223="Yes",YEAR(TODAY()),BLANK())</f>
        <v>#NAME?</v>
      </c>
      <c r="AN223" t="str" cm="1">
        <f t="array" ref="AN223" xml:space="preserve"> _xlfn.IFS(A223&lt;25,"&lt;25",
A223&lt;=35,"25-35",
A223&lt;=45,"36-45",
TRUE,"45+"
)</f>
        <v>25-35</v>
      </c>
      <c r="AO223" t="str" cm="1">
        <f t="array" ref="AO223">_xlfn.IFS(S223&lt;5000,"Low",
S223&lt;=15000,"Medium",
TRUE,"High")</f>
        <v>Low</v>
      </c>
    </row>
    <row r="224" spans="1:41" hidden="1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 t="str">
        <f t="shared" si="9"/>
        <v>Active</v>
      </c>
      <c r="AK224">
        <f t="shared" ca="1" si="10"/>
        <v>2015</v>
      </c>
      <c r="AL224">
        <f t="shared" si="11"/>
        <v>0</v>
      </c>
      <c r="AM224" t="e" cm="1">
        <f t="array" aca="1" ref="AM224" ca="1">IF(B224="Yes",YEAR(TODAY()),BLANK())</f>
        <v>#NAME?</v>
      </c>
      <c r="AN224" t="str" cm="1">
        <f t="array" ref="AN224" xml:space="preserve"> _xlfn.IFS(A224&lt;25,"&lt;25",
A224&lt;=35,"25-35",
A224&lt;=45,"36-45",
TRUE,"45+"
)</f>
        <v>36-45</v>
      </c>
      <c r="AO224" t="str" cm="1">
        <f t="array" ref="AO224">_xlfn.IFS(S224&lt;5000,"Low",
S224&lt;=15000,"Medium",
TRUE,"High")</f>
        <v>Medium</v>
      </c>
    </row>
    <row r="225" spans="1:41" hidden="1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 t="str">
        <f t="shared" si="9"/>
        <v>Active</v>
      </c>
      <c r="AK225">
        <f t="shared" ca="1" si="10"/>
        <v>2008</v>
      </c>
      <c r="AL225">
        <f t="shared" si="11"/>
        <v>0</v>
      </c>
      <c r="AM225" t="e" cm="1">
        <f t="array" aca="1" ref="AM225" ca="1">IF(B225="Yes",YEAR(TODAY()),BLANK())</f>
        <v>#NAME?</v>
      </c>
      <c r="AN225" t="str" cm="1">
        <f t="array" ref="AN225" xml:space="preserve"> _xlfn.IFS(A225&lt;25,"&lt;25",
A225&lt;=35,"25-35",
A225&lt;=45,"36-45",
TRUE,"45+"
)</f>
        <v>36-45</v>
      </c>
      <c r="AO225" t="str" cm="1">
        <f t="array" ref="AO225">_xlfn.IFS(S225&lt;5000,"Low",
S225&lt;=15000,"Medium",
TRUE,"High")</f>
        <v>Medium</v>
      </c>
    </row>
    <row r="226" spans="1:41" hidden="1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 t="str">
        <f t="shared" si="9"/>
        <v>Active</v>
      </c>
      <c r="AK226">
        <f t="shared" ca="1" si="10"/>
        <v>2019</v>
      </c>
      <c r="AL226">
        <f t="shared" si="11"/>
        <v>0</v>
      </c>
      <c r="AM226" t="e" cm="1">
        <f t="array" aca="1" ref="AM226" ca="1">IF(B226="Yes",YEAR(TODAY()),BLANK())</f>
        <v>#NAME?</v>
      </c>
      <c r="AN226" t="str" cm="1">
        <f t="array" ref="AN226" xml:space="preserve"> _xlfn.IFS(A226&lt;25,"&lt;25",
A226&lt;=35,"25-35",
A226&lt;=45,"36-45",
TRUE,"45+"
)</f>
        <v>25-35</v>
      </c>
      <c r="AO226" t="str" cm="1">
        <f t="array" ref="AO226">_xlfn.IFS(S226&lt;5000,"Low",
S226&lt;=15000,"Medium",
TRUE,"High")</f>
        <v>Low</v>
      </c>
    </row>
    <row r="227" spans="1:41" hidden="1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 t="str">
        <f t="shared" si="9"/>
        <v>Active</v>
      </c>
      <c r="AK227">
        <f t="shared" ca="1" si="10"/>
        <v>2018</v>
      </c>
      <c r="AL227">
        <f t="shared" si="11"/>
        <v>0</v>
      </c>
      <c r="AM227" t="e" cm="1">
        <f t="array" aca="1" ref="AM227" ca="1">IF(B227="Yes",YEAR(TODAY()),BLANK())</f>
        <v>#NAME?</v>
      </c>
      <c r="AN227" t="str" cm="1">
        <f t="array" ref="AN227" xml:space="preserve"> _xlfn.IFS(A227&lt;25,"&lt;25",
A227&lt;=35,"25-35",
A227&lt;=45,"36-45",
TRUE,"45+"
)</f>
        <v>45+</v>
      </c>
      <c r="AO227" t="str" cm="1">
        <f t="array" ref="AO227">_xlfn.IFS(S227&lt;5000,"Low",
S227&lt;=15000,"Medium",
TRUE,"High")</f>
        <v>Low</v>
      </c>
    </row>
    <row r="228" spans="1:41" hidden="1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 t="str">
        <f t="shared" si="9"/>
        <v>Active</v>
      </c>
      <c r="AK228">
        <f t="shared" ca="1" si="10"/>
        <v>2012</v>
      </c>
      <c r="AL228">
        <f t="shared" si="11"/>
        <v>0</v>
      </c>
      <c r="AM228" t="e" cm="1">
        <f t="array" aca="1" ref="AM228" ca="1">IF(B228="Yes",YEAR(TODAY()),BLANK())</f>
        <v>#NAME?</v>
      </c>
      <c r="AN228" t="str" cm="1">
        <f t="array" ref="AN228" xml:space="preserve"> _xlfn.IFS(A228&lt;25,"&lt;25",
A228&lt;=35,"25-35",
A228&lt;=45,"36-45",
TRUE,"45+"
)</f>
        <v>36-45</v>
      </c>
      <c r="AO228" t="str" cm="1">
        <f t="array" ref="AO228">_xlfn.IFS(S228&lt;5000,"Low",
S228&lt;=15000,"Medium",
TRUE,"High")</f>
        <v>Low</v>
      </c>
    </row>
    <row r="229" spans="1:41" hidden="1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 t="str">
        <f t="shared" si="9"/>
        <v>Active</v>
      </c>
      <c r="AK229">
        <f t="shared" ca="1" si="10"/>
        <v>2014</v>
      </c>
      <c r="AL229">
        <f t="shared" si="11"/>
        <v>0</v>
      </c>
      <c r="AM229" t="e" cm="1">
        <f t="array" aca="1" ref="AM229" ca="1">IF(B229="Yes",YEAR(TODAY()),BLANK())</f>
        <v>#NAME?</v>
      </c>
      <c r="AN229" t="str" cm="1">
        <f t="array" ref="AN229" xml:space="preserve"> _xlfn.IFS(A229&lt;25,"&lt;25",
A229&lt;=35,"25-35",
A229&lt;=45,"36-45",
TRUE,"45+"
)</f>
        <v>25-35</v>
      </c>
      <c r="AO229" t="str" cm="1">
        <f t="array" ref="AO229">_xlfn.IFS(S229&lt;5000,"Low",
S229&lt;=15000,"Medium",
TRUE,"High")</f>
        <v>Medium</v>
      </c>
    </row>
    <row r="230" spans="1:41" hidden="1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 t="str">
        <f t="shared" si="9"/>
        <v>Active</v>
      </c>
      <c r="AK230">
        <f t="shared" ca="1" si="10"/>
        <v>2015</v>
      </c>
      <c r="AL230">
        <f t="shared" si="11"/>
        <v>0</v>
      </c>
      <c r="AM230" t="e" cm="1">
        <f t="array" aca="1" ref="AM230" ca="1">IF(B230="Yes",YEAR(TODAY()),BLANK())</f>
        <v>#NAME?</v>
      </c>
      <c r="AN230" t="str" cm="1">
        <f t="array" ref="AN230" xml:space="preserve"> _xlfn.IFS(A230&lt;25,"&lt;25",
A230&lt;=35,"25-35",
A230&lt;=45,"36-45",
TRUE,"45+"
)</f>
        <v>25-35</v>
      </c>
      <c r="AO230" t="str" cm="1">
        <f t="array" ref="AO230">_xlfn.IFS(S230&lt;5000,"Low",
S230&lt;=15000,"Medium",
TRUE,"High")</f>
        <v>Medium</v>
      </c>
    </row>
    <row r="231" spans="1:41" hidden="1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 t="str">
        <f t="shared" si="9"/>
        <v>Resigned</v>
      </c>
      <c r="AK231">
        <f t="shared" ca="1" si="10"/>
        <v>2021</v>
      </c>
      <c r="AL231">
        <f t="shared" si="11"/>
        <v>1</v>
      </c>
      <c r="AM231" cm="1">
        <f t="array" aca="1" ref="AM231" ca="1">IF(B231="Yes",YEAR(TODAY()),BLANK())</f>
        <v>2025</v>
      </c>
      <c r="AN231" t="str" cm="1">
        <f t="array" ref="AN231" xml:space="preserve"> _xlfn.IFS(A231&lt;25,"&lt;25",
A231&lt;=35,"25-35",
A231&lt;=45,"36-45",
TRUE,"45+"
)</f>
        <v>25-35</v>
      </c>
      <c r="AO231" t="str" cm="1">
        <f t="array" ref="AO231">_xlfn.IFS(S231&lt;5000,"Low",
S231&lt;=15000,"Medium",
TRUE,"High")</f>
        <v>Low</v>
      </c>
    </row>
    <row r="232" spans="1:41" hidden="1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 t="str">
        <f t="shared" si="9"/>
        <v>Active</v>
      </c>
      <c r="AK232">
        <f t="shared" ca="1" si="10"/>
        <v>2019</v>
      </c>
      <c r="AL232">
        <f t="shared" si="11"/>
        <v>0</v>
      </c>
      <c r="AM232" t="e" cm="1">
        <f t="array" aca="1" ref="AM232" ca="1">IF(B232="Yes",YEAR(TODAY()),BLANK())</f>
        <v>#NAME?</v>
      </c>
      <c r="AN232" t="str" cm="1">
        <f t="array" ref="AN232" xml:space="preserve"> _xlfn.IFS(A232&lt;25,"&lt;25",
A232&lt;=35,"25-35",
A232&lt;=45,"36-45",
TRUE,"45+"
)</f>
        <v>45+</v>
      </c>
      <c r="AO232" t="str" cm="1">
        <f t="array" ref="AO232">_xlfn.IFS(S232&lt;5000,"Low",
S232&lt;=15000,"Medium",
TRUE,"High")</f>
        <v>Low</v>
      </c>
    </row>
    <row r="233" spans="1:41" hidden="1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 t="str">
        <f t="shared" si="9"/>
        <v>Active</v>
      </c>
      <c r="AK233">
        <f t="shared" ca="1" si="10"/>
        <v>2003</v>
      </c>
      <c r="AL233">
        <f t="shared" si="11"/>
        <v>0</v>
      </c>
      <c r="AM233" t="e" cm="1">
        <f t="array" aca="1" ref="AM233" ca="1">IF(B233="Yes",YEAR(TODAY()),BLANK())</f>
        <v>#NAME?</v>
      </c>
      <c r="AN233" t="str" cm="1">
        <f t="array" ref="AN233" xml:space="preserve"> _xlfn.IFS(A233&lt;25,"&lt;25",
A233&lt;=35,"25-35",
A233&lt;=45,"36-45",
TRUE,"45+"
)</f>
        <v>36-45</v>
      </c>
      <c r="AO233" t="str" cm="1">
        <f t="array" ref="AO233">_xlfn.IFS(S233&lt;5000,"Low",
S233&lt;=15000,"Medium",
TRUE,"High")</f>
        <v>High</v>
      </c>
    </row>
    <row r="234" spans="1:41" hidden="1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 t="str">
        <f t="shared" si="9"/>
        <v>Active</v>
      </c>
      <c r="AK234">
        <f t="shared" ca="1" si="10"/>
        <v>2018</v>
      </c>
      <c r="AL234">
        <f t="shared" si="11"/>
        <v>0</v>
      </c>
      <c r="AM234" t="e" cm="1">
        <f t="array" aca="1" ref="AM234" ca="1">IF(B234="Yes",YEAR(TODAY()),BLANK())</f>
        <v>#NAME?</v>
      </c>
      <c r="AN234" t="str" cm="1">
        <f t="array" ref="AN234" xml:space="preserve"> _xlfn.IFS(A234&lt;25,"&lt;25",
A234&lt;=35,"25-35",
A234&lt;=45,"36-45",
TRUE,"45+"
)</f>
        <v>45+</v>
      </c>
      <c r="AO234" t="str" cm="1">
        <f t="array" ref="AO234">_xlfn.IFS(S234&lt;5000,"Low",
S234&lt;=15000,"Medium",
TRUE,"High")</f>
        <v>Low</v>
      </c>
    </row>
    <row r="235" spans="1:41" hidden="1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 t="str">
        <f t="shared" si="9"/>
        <v>Active</v>
      </c>
      <c r="AK235">
        <f t="shared" ca="1" si="10"/>
        <v>1993</v>
      </c>
      <c r="AL235">
        <f t="shared" si="11"/>
        <v>0</v>
      </c>
      <c r="AM235" t="e" cm="1">
        <f t="array" aca="1" ref="AM235" ca="1">IF(B235="Yes",YEAR(TODAY()),BLANK())</f>
        <v>#NAME?</v>
      </c>
      <c r="AN235" t="str" cm="1">
        <f t="array" ref="AN235" xml:space="preserve"> _xlfn.IFS(A235&lt;25,"&lt;25",
A235&lt;=35,"25-35",
A235&lt;=45,"36-45",
TRUE,"45+"
)</f>
        <v>45+</v>
      </c>
      <c r="AO235" t="str" cm="1">
        <f t="array" ref="AO235">_xlfn.IFS(S235&lt;5000,"Low",
S235&lt;=15000,"Medium",
TRUE,"High")</f>
        <v>High</v>
      </c>
    </row>
    <row r="236" spans="1:41" hidden="1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 t="str">
        <f t="shared" si="9"/>
        <v>Resigned</v>
      </c>
      <c r="AK236">
        <f t="shared" ca="1" si="10"/>
        <v>2017</v>
      </c>
      <c r="AL236">
        <f t="shared" si="11"/>
        <v>1</v>
      </c>
      <c r="AM236" cm="1">
        <f t="array" aca="1" ref="AM236" ca="1">IF(B236="Yes",YEAR(TODAY()),BLANK())</f>
        <v>2025</v>
      </c>
      <c r="AN236" t="str" cm="1">
        <f t="array" ref="AN236" xml:space="preserve"> _xlfn.IFS(A236&lt;25,"&lt;25",
A236&lt;=35,"25-35",
A236&lt;=45,"36-45",
TRUE,"45+"
)</f>
        <v>25-35</v>
      </c>
      <c r="AO236" t="str" cm="1">
        <f t="array" ref="AO236">_xlfn.IFS(S236&lt;5000,"Low",
S236&lt;=15000,"Medium",
TRUE,"High")</f>
        <v>Low</v>
      </c>
    </row>
    <row r="237" spans="1:41" hidden="1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 t="str">
        <f t="shared" si="9"/>
        <v>Active</v>
      </c>
      <c r="AK237">
        <f t="shared" ca="1" si="10"/>
        <v>2003</v>
      </c>
      <c r="AL237">
        <f t="shared" si="11"/>
        <v>0</v>
      </c>
      <c r="AM237" t="e" cm="1">
        <f t="array" aca="1" ref="AM237" ca="1">IF(B237="Yes",YEAR(TODAY()),BLANK())</f>
        <v>#NAME?</v>
      </c>
      <c r="AN237" t="str" cm="1">
        <f t="array" ref="AN237" xml:space="preserve"> _xlfn.IFS(A237&lt;25,"&lt;25",
A237&lt;=35,"25-35",
A237&lt;=45,"36-45",
TRUE,"45+"
)</f>
        <v>36-45</v>
      </c>
      <c r="AO237" t="str" cm="1">
        <f t="array" ref="AO237">_xlfn.IFS(S237&lt;5000,"Low",
S237&lt;=15000,"Medium",
TRUE,"High")</f>
        <v>High</v>
      </c>
    </row>
    <row r="238" spans="1:41" hidden="1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 t="str">
        <f t="shared" si="9"/>
        <v>Resigned</v>
      </c>
      <c r="AK238">
        <f t="shared" ca="1" si="10"/>
        <v>2012</v>
      </c>
      <c r="AL238">
        <f t="shared" si="11"/>
        <v>1</v>
      </c>
      <c r="AM238" cm="1">
        <f t="array" aca="1" ref="AM238" ca="1">IF(B238="Yes",YEAR(TODAY()),BLANK())</f>
        <v>2025</v>
      </c>
      <c r="AN238" t="str" cm="1">
        <f t="array" ref="AN238" xml:space="preserve"> _xlfn.IFS(A238&lt;25,"&lt;25",
A238&lt;=35,"25-35",
A238&lt;=45,"36-45",
TRUE,"45+"
)</f>
        <v>25-35</v>
      </c>
      <c r="AO238" t="str" cm="1">
        <f t="array" ref="AO238">_xlfn.IFS(S238&lt;5000,"Low",
S238&lt;=15000,"Medium",
TRUE,"High")</f>
        <v>Low</v>
      </c>
    </row>
    <row r="239" spans="1:41" hidden="1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 t="str">
        <f t="shared" si="9"/>
        <v>Active</v>
      </c>
      <c r="AK239">
        <f t="shared" ca="1" si="10"/>
        <v>1992</v>
      </c>
      <c r="AL239">
        <f t="shared" si="11"/>
        <v>0</v>
      </c>
      <c r="AM239" t="e" cm="1">
        <f t="array" aca="1" ref="AM239" ca="1">IF(B239="Yes",YEAR(TODAY()),BLANK())</f>
        <v>#NAME?</v>
      </c>
      <c r="AN239" t="str" cm="1">
        <f t="array" ref="AN239" xml:space="preserve"> _xlfn.IFS(A239&lt;25,"&lt;25",
A239&lt;=35,"25-35",
A239&lt;=45,"36-45",
TRUE,"45+"
)</f>
        <v>45+</v>
      </c>
      <c r="AO239" t="str" cm="1">
        <f t="array" ref="AO239">_xlfn.IFS(S239&lt;5000,"Low",
S239&lt;=15000,"Medium",
TRUE,"High")</f>
        <v>High</v>
      </c>
    </row>
    <row r="240" spans="1:41" hidden="1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 t="str">
        <f t="shared" si="9"/>
        <v>Active</v>
      </c>
      <c r="AK240">
        <f t="shared" ca="1" si="10"/>
        <v>2019</v>
      </c>
      <c r="AL240">
        <f t="shared" si="11"/>
        <v>0</v>
      </c>
      <c r="AM240" t="e" cm="1">
        <f t="array" aca="1" ref="AM240" ca="1">IF(B240="Yes",YEAR(TODAY()),BLANK())</f>
        <v>#NAME?</v>
      </c>
      <c r="AN240" t="str" cm="1">
        <f t="array" ref="AN240" xml:space="preserve"> _xlfn.IFS(A240&lt;25,"&lt;25",
A240&lt;=35,"25-35",
A240&lt;=45,"36-45",
TRUE,"45+"
)</f>
        <v>25-35</v>
      </c>
      <c r="AO240" t="str" cm="1">
        <f t="array" ref="AO240">_xlfn.IFS(S240&lt;5000,"Low",
S240&lt;=15000,"Medium",
TRUE,"High")</f>
        <v>Low</v>
      </c>
    </row>
    <row r="241" spans="1:41" hidden="1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 t="str">
        <f t="shared" si="9"/>
        <v>Resigned</v>
      </c>
      <c r="AK241">
        <f t="shared" ca="1" si="10"/>
        <v>2021</v>
      </c>
      <c r="AL241">
        <f t="shared" si="11"/>
        <v>1</v>
      </c>
      <c r="AM241" cm="1">
        <f t="array" aca="1" ref="AM241" ca="1">IF(B241="Yes",YEAR(TODAY()),BLANK())</f>
        <v>2025</v>
      </c>
      <c r="AN241" t="str" cm="1">
        <f t="array" ref="AN241" xml:space="preserve"> _xlfn.IFS(A241&lt;25,"&lt;25",
A241&lt;=35,"25-35",
A241&lt;=45,"36-45",
TRUE,"45+"
)</f>
        <v>25-35</v>
      </c>
      <c r="AO241" t="str" cm="1">
        <f t="array" ref="AO241">_xlfn.IFS(S241&lt;5000,"Low",
S241&lt;=15000,"Medium",
TRUE,"High")</f>
        <v>Low</v>
      </c>
    </row>
    <row r="242" spans="1:41" hidden="1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 t="str">
        <f t="shared" si="9"/>
        <v>Active</v>
      </c>
      <c r="AK242">
        <f t="shared" ca="1" si="10"/>
        <v>2018</v>
      </c>
      <c r="AL242">
        <f t="shared" si="11"/>
        <v>0</v>
      </c>
      <c r="AM242" t="e" cm="1">
        <f t="array" aca="1" ref="AM242" ca="1">IF(B242="Yes",YEAR(TODAY()),BLANK())</f>
        <v>#NAME?</v>
      </c>
      <c r="AN242" t="str" cm="1">
        <f t="array" ref="AN242" xml:space="preserve"> _xlfn.IFS(A242&lt;25,"&lt;25",
A242&lt;=35,"25-35",
A242&lt;=45,"36-45",
TRUE,"45+"
)</f>
        <v>36-45</v>
      </c>
      <c r="AO242" t="str" cm="1">
        <f t="array" ref="AO242">_xlfn.IFS(S242&lt;5000,"Low",
S242&lt;=15000,"Medium",
TRUE,"High")</f>
        <v>Low</v>
      </c>
    </row>
    <row r="243" spans="1:41" hidden="1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 t="str">
        <f t="shared" si="9"/>
        <v>Active</v>
      </c>
      <c r="AK243">
        <f t="shared" ca="1" si="10"/>
        <v>2021</v>
      </c>
      <c r="AL243">
        <f t="shared" si="11"/>
        <v>0</v>
      </c>
      <c r="AM243" t="e" cm="1">
        <f t="array" aca="1" ref="AM243" ca="1">IF(B243="Yes",YEAR(TODAY()),BLANK())</f>
        <v>#NAME?</v>
      </c>
      <c r="AN243" t="str" cm="1">
        <f t="array" ref="AN243" xml:space="preserve"> _xlfn.IFS(A243&lt;25,"&lt;25",
A243&lt;=35,"25-35",
A243&lt;=45,"36-45",
TRUE,"45+"
)</f>
        <v>25-35</v>
      </c>
      <c r="AO243" t="str" cm="1">
        <f t="array" ref="AO243">_xlfn.IFS(S243&lt;5000,"Low",
S243&lt;=15000,"Medium",
TRUE,"High")</f>
        <v>Low</v>
      </c>
    </row>
    <row r="244" spans="1:41" hidden="1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 t="str">
        <f t="shared" si="9"/>
        <v>Active</v>
      </c>
      <c r="AK244">
        <f t="shared" ca="1" si="10"/>
        <v>2008</v>
      </c>
      <c r="AL244">
        <f t="shared" si="11"/>
        <v>0</v>
      </c>
      <c r="AM244" t="e" cm="1">
        <f t="array" aca="1" ref="AM244" ca="1">IF(B244="Yes",YEAR(TODAY()),BLANK())</f>
        <v>#NAME?</v>
      </c>
      <c r="AN244" t="str" cm="1">
        <f t="array" ref="AN244" xml:space="preserve"> _xlfn.IFS(A244&lt;25,"&lt;25",
A244&lt;=35,"25-35",
A244&lt;=45,"36-45",
TRUE,"45+"
)</f>
        <v>36-45</v>
      </c>
      <c r="AO244" t="str" cm="1">
        <f t="array" ref="AO244">_xlfn.IFS(S244&lt;5000,"Low",
S244&lt;=15000,"Medium",
TRUE,"High")</f>
        <v>Low</v>
      </c>
    </row>
    <row r="245" spans="1:41" hidden="1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 t="str">
        <f t="shared" si="9"/>
        <v>Active</v>
      </c>
      <c r="AK245">
        <f t="shared" ca="1" si="10"/>
        <v>2016</v>
      </c>
      <c r="AL245">
        <f t="shared" si="11"/>
        <v>0</v>
      </c>
      <c r="AM245" t="e" cm="1">
        <f t="array" aca="1" ref="AM245" ca="1">IF(B245="Yes",YEAR(TODAY()),BLANK())</f>
        <v>#NAME?</v>
      </c>
      <c r="AN245" t="str" cm="1">
        <f t="array" ref="AN245" xml:space="preserve"> _xlfn.IFS(A245&lt;25,"&lt;25",
A245&lt;=35,"25-35",
A245&lt;=45,"36-45",
TRUE,"45+"
)</f>
        <v>36-45</v>
      </c>
      <c r="AO245" t="str" cm="1">
        <f t="array" ref="AO245">_xlfn.IFS(S245&lt;5000,"Low",
S245&lt;=15000,"Medium",
TRUE,"High")</f>
        <v>Low</v>
      </c>
    </row>
    <row r="246" spans="1:41" hidden="1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 t="str">
        <f t="shared" si="9"/>
        <v>Active</v>
      </c>
      <c r="AK246">
        <f t="shared" ca="1" si="10"/>
        <v>2000</v>
      </c>
      <c r="AL246">
        <f t="shared" si="11"/>
        <v>0</v>
      </c>
      <c r="AM246" t="e" cm="1">
        <f t="array" aca="1" ref="AM246" ca="1">IF(B246="Yes",YEAR(TODAY()),BLANK())</f>
        <v>#NAME?</v>
      </c>
      <c r="AN246" t="str" cm="1">
        <f t="array" ref="AN246" xml:space="preserve"> _xlfn.IFS(A246&lt;25,"&lt;25",
A246&lt;=35,"25-35",
A246&lt;=45,"36-45",
TRUE,"45+"
)</f>
        <v>36-45</v>
      </c>
      <c r="AO246" t="str" cm="1">
        <f t="array" ref="AO246">_xlfn.IFS(S246&lt;5000,"Low",
S246&lt;=15000,"Medium",
TRUE,"High")</f>
        <v>High</v>
      </c>
    </row>
    <row r="247" spans="1:41" hidden="1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 t="str">
        <f t="shared" si="9"/>
        <v>Active</v>
      </c>
      <c r="AK247">
        <f t="shared" ca="1" si="10"/>
        <v>2016</v>
      </c>
      <c r="AL247">
        <f t="shared" si="11"/>
        <v>0</v>
      </c>
      <c r="AM247" t="e" cm="1">
        <f t="array" aca="1" ref="AM247" ca="1">IF(B247="Yes",YEAR(TODAY()),BLANK())</f>
        <v>#NAME?</v>
      </c>
      <c r="AN247" t="str" cm="1">
        <f t="array" ref="AN247" xml:space="preserve"> _xlfn.IFS(A247&lt;25,"&lt;25",
A247&lt;=35,"25-35",
A247&lt;=45,"36-45",
TRUE,"45+"
)</f>
        <v>25-35</v>
      </c>
      <c r="AO247" t="str" cm="1">
        <f t="array" ref="AO247">_xlfn.IFS(S247&lt;5000,"Low",
S247&lt;=15000,"Medium",
TRUE,"High")</f>
        <v>Medium</v>
      </c>
    </row>
    <row r="248" spans="1:41" hidden="1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 t="str">
        <f t="shared" si="9"/>
        <v>Active</v>
      </c>
      <c r="AK248">
        <f t="shared" ca="1" si="10"/>
        <v>2023</v>
      </c>
      <c r="AL248">
        <f t="shared" si="11"/>
        <v>0</v>
      </c>
      <c r="AM248" t="e" cm="1">
        <f t="array" aca="1" ref="AM248" ca="1">IF(B248="Yes",YEAR(TODAY()),BLANK())</f>
        <v>#NAME?</v>
      </c>
      <c r="AN248" t="str" cm="1">
        <f t="array" ref="AN248" xml:space="preserve"> _xlfn.IFS(A248&lt;25,"&lt;25",
A248&lt;=35,"25-35",
A248&lt;=45,"36-45",
TRUE,"45+"
)</f>
        <v>25-35</v>
      </c>
      <c r="AO248" t="str" cm="1">
        <f t="array" ref="AO248">_xlfn.IFS(S248&lt;5000,"Low",
S248&lt;=15000,"Medium",
TRUE,"High")</f>
        <v>Low</v>
      </c>
    </row>
    <row r="249" spans="1:41" hidden="1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 t="str">
        <f t="shared" si="9"/>
        <v>Active</v>
      </c>
      <c r="AK249">
        <f t="shared" ca="1" si="10"/>
        <v>2012</v>
      </c>
      <c r="AL249">
        <f t="shared" si="11"/>
        <v>0</v>
      </c>
      <c r="AM249" t="e" cm="1">
        <f t="array" aca="1" ref="AM249" ca="1">IF(B249="Yes",YEAR(TODAY()),BLANK())</f>
        <v>#NAME?</v>
      </c>
      <c r="AN249" t="str" cm="1">
        <f t="array" ref="AN249" xml:space="preserve"> _xlfn.IFS(A249&lt;25,"&lt;25",
A249&lt;=35,"25-35",
A249&lt;=45,"36-45",
TRUE,"45+"
)</f>
        <v>25-35</v>
      </c>
      <c r="AO249" t="str" cm="1">
        <f t="array" ref="AO249">_xlfn.IFS(S249&lt;5000,"Low",
S249&lt;=15000,"Medium",
TRUE,"High")</f>
        <v>Medium</v>
      </c>
    </row>
    <row r="250" spans="1:41" hidden="1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 t="str">
        <f t="shared" si="9"/>
        <v>Active</v>
      </c>
      <c r="AK250">
        <f t="shared" ca="1" si="10"/>
        <v>2008</v>
      </c>
      <c r="AL250">
        <f t="shared" si="11"/>
        <v>0</v>
      </c>
      <c r="AM250" t="e" cm="1">
        <f t="array" aca="1" ref="AM250" ca="1">IF(B250="Yes",YEAR(TODAY()),BLANK())</f>
        <v>#NAME?</v>
      </c>
      <c r="AN250" t="str" cm="1">
        <f t="array" ref="AN250" xml:space="preserve"> _xlfn.IFS(A250&lt;25,"&lt;25",
A250&lt;=35,"25-35",
A250&lt;=45,"36-45",
TRUE,"45+"
)</f>
        <v>36-45</v>
      </c>
      <c r="AO250" t="str" cm="1">
        <f t="array" ref="AO250">_xlfn.IFS(S250&lt;5000,"Low",
S250&lt;=15000,"Medium",
TRUE,"High")</f>
        <v>Low</v>
      </c>
    </row>
    <row r="251" spans="1:41" hidden="1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 t="str">
        <f t="shared" si="9"/>
        <v>Active</v>
      </c>
      <c r="AK251">
        <f t="shared" ca="1" si="10"/>
        <v>2016</v>
      </c>
      <c r="AL251">
        <f t="shared" si="11"/>
        <v>0</v>
      </c>
      <c r="AM251" t="e" cm="1">
        <f t="array" aca="1" ref="AM251" ca="1">IF(B251="Yes",YEAR(TODAY()),BLANK())</f>
        <v>#NAME?</v>
      </c>
      <c r="AN251" t="str" cm="1">
        <f t="array" ref="AN251" xml:space="preserve"> _xlfn.IFS(A251&lt;25,"&lt;25",
A251&lt;=35,"25-35",
A251&lt;=45,"36-45",
TRUE,"45+"
)</f>
        <v>36-45</v>
      </c>
      <c r="AO251" t="str" cm="1">
        <f t="array" ref="AO251">_xlfn.IFS(S251&lt;5000,"Low",
S251&lt;=15000,"Medium",
TRUE,"High")</f>
        <v>Medium</v>
      </c>
    </row>
    <row r="252" spans="1:41" hidden="1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 t="str">
        <f t="shared" si="9"/>
        <v>Resigned</v>
      </c>
      <c r="AK252">
        <f t="shared" ca="1" si="10"/>
        <v>2008</v>
      </c>
      <c r="AL252">
        <f t="shared" si="11"/>
        <v>1</v>
      </c>
      <c r="AM252" cm="1">
        <f t="array" aca="1" ref="AM252" ca="1">IF(B252="Yes",YEAR(TODAY()),BLANK())</f>
        <v>2025</v>
      </c>
      <c r="AN252" t="str" cm="1">
        <f t="array" ref="AN252" xml:space="preserve"> _xlfn.IFS(A252&lt;25,"&lt;25",
A252&lt;=35,"25-35",
A252&lt;=45,"36-45",
TRUE,"45+"
)</f>
        <v>36-45</v>
      </c>
      <c r="AO252" t="str" cm="1">
        <f t="array" ref="AO252">_xlfn.IFS(S252&lt;5000,"Low",
S252&lt;=15000,"Medium",
TRUE,"High")</f>
        <v>Medium</v>
      </c>
    </row>
    <row r="253" spans="1:41" hidden="1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 t="str">
        <f t="shared" si="9"/>
        <v>Active</v>
      </c>
      <c r="AK253">
        <f t="shared" ca="1" si="10"/>
        <v>2005</v>
      </c>
      <c r="AL253">
        <f t="shared" si="11"/>
        <v>0</v>
      </c>
      <c r="AM253" t="e" cm="1">
        <f t="array" aca="1" ref="AM253" ca="1">IF(B253="Yes",YEAR(TODAY()),BLANK())</f>
        <v>#NAME?</v>
      </c>
      <c r="AN253" t="str" cm="1">
        <f t="array" ref="AN253" xml:space="preserve"> _xlfn.IFS(A253&lt;25,"&lt;25",
A253&lt;=35,"25-35",
A253&lt;=45,"36-45",
TRUE,"45+"
)</f>
        <v>36-45</v>
      </c>
      <c r="AO253" t="str" cm="1">
        <f t="array" ref="AO253">_xlfn.IFS(S253&lt;5000,"Low",
S253&lt;=15000,"Medium",
TRUE,"High")</f>
        <v>Medium</v>
      </c>
    </row>
    <row r="254" spans="1:41" hidden="1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 t="str">
        <f t="shared" si="9"/>
        <v>Active</v>
      </c>
      <c r="AK254">
        <f t="shared" ca="1" si="10"/>
        <v>2019</v>
      </c>
      <c r="AL254">
        <f t="shared" si="11"/>
        <v>0</v>
      </c>
      <c r="AM254" t="e" cm="1">
        <f t="array" aca="1" ref="AM254" ca="1">IF(B254="Yes",YEAR(TODAY()),BLANK())</f>
        <v>#NAME?</v>
      </c>
      <c r="AN254" t="str" cm="1">
        <f t="array" ref="AN254" xml:space="preserve"> _xlfn.IFS(A254&lt;25,"&lt;25",
A254&lt;=35,"25-35",
A254&lt;=45,"36-45",
TRUE,"45+"
)</f>
        <v>25-35</v>
      </c>
      <c r="AO254" t="str" cm="1">
        <f t="array" ref="AO254">_xlfn.IFS(S254&lt;5000,"Low",
S254&lt;=15000,"Medium",
TRUE,"High")</f>
        <v>Low</v>
      </c>
    </row>
    <row r="255" spans="1:41" hidden="1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 t="str">
        <f t="shared" si="9"/>
        <v>Active</v>
      </c>
      <c r="AK255">
        <f t="shared" ca="1" si="10"/>
        <v>2015</v>
      </c>
      <c r="AL255">
        <f t="shared" si="11"/>
        <v>0</v>
      </c>
      <c r="AM255" t="e" cm="1">
        <f t="array" aca="1" ref="AM255" ca="1">IF(B255="Yes",YEAR(TODAY()),BLANK())</f>
        <v>#NAME?</v>
      </c>
      <c r="AN255" t="str" cm="1">
        <f t="array" ref="AN255" xml:space="preserve"> _xlfn.IFS(A255&lt;25,"&lt;25",
A255&lt;=35,"25-35",
A255&lt;=45,"36-45",
TRUE,"45+"
)</f>
        <v>36-45</v>
      </c>
      <c r="AO255" t="str" cm="1">
        <f t="array" ref="AO255">_xlfn.IFS(S255&lt;5000,"Low",
S255&lt;=15000,"Medium",
TRUE,"High")</f>
        <v>Medium</v>
      </c>
    </row>
    <row r="256" spans="1:41" hidden="1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 t="str">
        <f t="shared" si="9"/>
        <v>Active</v>
      </c>
      <c r="AK256">
        <f t="shared" ca="1" si="10"/>
        <v>2015</v>
      </c>
      <c r="AL256">
        <f t="shared" si="11"/>
        <v>0</v>
      </c>
      <c r="AM256" t="e" cm="1">
        <f t="array" aca="1" ref="AM256" ca="1">IF(B256="Yes",YEAR(TODAY()),BLANK())</f>
        <v>#NAME?</v>
      </c>
      <c r="AN256" t="str" cm="1">
        <f t="array" ref="AN256" xml:space="preserve"> _xlfn.IFS(A256&lt;25,"&lt;25",
A256&lt;=35,"25-35",
A256&lt;=45,"36-45",
TRUE,"45+"
)</f>
        <v>25-35</v>
      </c>
      <c r="AO256" t="str" cm="1">
        <f t="array" ref="AO256">_xlfn.IFS(S256&lt;5000,"Low",
S256&lt;=15000,"Medium",
TRUE,"High")</f>
        <v>Medium</v>
      </c>
    </row>
    <row r="257" spans="1:41" hidden="1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 t="str">
        <f t="shared" si="9"/>
        <v>Active</v>
      </c>
      <c r="AK257">
        <f t="shared" ca="1" si="10"/>
        <v>2020</v>
      </c>
      <c r="AL257">
        <f t="shared" si="11"/>
        <v>0</v>
      </c>
      <c r="AM257" t="e" cm="1">
        <f t="array" aca="1" ref="AM257" ca="1">IF(B257="Yes",YEAR(TODAY()),BLANK())</f>
        <v>#NAME?</v>
      </c>
      <c r="AN257" t="str" cm="1">
        <f t="array" ref="AN257" xml:space="preserve"> _xlfn.IFS(A257&lt;25,"&lt;25",
A257&lt;=35,"25-35",
A257&lt;=45,"36-45",
TRUE,"45+"
)</f>
        <v>25-35</v>
      </c>
      <c r="AO257" t="str" cm="1">
        <f t="array" ref="AO257">_xlfn.IFS(S257&lt;5000,"Low",
S257&lt;=15000,"Medium",
TRUE,"High")</f>
        <v>Low</v>
      </c>
    </row>
    <row r="258" spans="1:41" hidden="1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 t="str">
        <f t="shared" si="9"/>
        <v>Active</v>
      </c>
      <c r="AK258">
        <f t="shared" ca="1" si="10"/>
        <v>2015</v>
      </c>
      <c r="AL258">
        <f t="shared" si="11"/>
        <v>0</v>
      </c>
      <c r="AM258" t="e" cm="1">
        <f t="array" aca="1" ref="AM258" ca="1">IF(B258="Yes",YEAR(TODAY()),BLANK())</f>
        <v>#NAME?</v>
      </c>
      <c r="AN258" t="str" cm="1">
        <f t="array" ref="AN258" xml:space="preserve"> _xlfn.IFS(A258&lt;25,"&lt;25",
A258&lt;=35,"25-35",
A258&lt;=45,"36-45",
TRUE,"45+"
)</f>
        <v>36-45</v>
      </c>
      <c r="AO258" t="str" cm="1">
        <f t="array" ref="AO258">_xlfn.IFS(S258&lt;5000,"Low",
S258&lt;=15000,"Medium",
TRUE,"High")</f>
        <v>Low</v>
      </c>
    </row>
    <row r="259" spans="1:41" hidden="1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 t="str">
        <f t="shared" ref="AJ259:AJ322" si="12">IF(B259="Yes", "Resigned","Active")</f>
        <v>Active</v>
      </c>
      <c r="AK259">
        <f t="shared" ref="AK259:AK322" ca="1" si="13">YEAR(TODAY()) - AC259</f>
        <v>2003</v>
      </c>
      <c r="AL259">
        <f t="shared" ref="AL259:AL322" si="14">IF(B259="Yes",1,0)</f>
        <v>0</v>
      </c>
      <c r="AM259" t="e" cm="1">
        <f t="array" aca="1" ref="AM259" ca="1">IF(B259="Yes",YEAR(TODAY()),BLANK())</f>
        <v>#NAME?</v>
      </c>
      <c r="AN259" t="str" cm="1">
        <f t="array" ref="AN259" xml:space="preserve"> _xlfn.IFS(A259&lt;25,"&lt;25",
A259&lt;=35,"25-35",
A259&lt;=45,"36-45",
TRUE,"45+"
)</f>
        <v>36-45</v>
      </c>
      <c r="AO259" t="str" cm="1">
        <f t="array" ref="AO259">_xlfn.IFS(S259&lt;5000,"Low",
S259&lt;=15000,"Medium",
TRUE,"High")</f>
        <v>High</v>
      </c>
    </row>
    <row r="260" spans="1:41" hidden="1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 t="str">
        <f t="shared" si="12"/>
        <v>Active</v>
      </c>
      <c r="AK260">
        <f t="shared" ca="1" si="13"/>
        <v>2024</v>
      </c>
      <c r="AL260">
        <f t="shared" si="14"/>
        <v>0</v>
      </c>
      <c r="AM260" t="e" cm="1">
        <f t="array" aca="1" ref="AM260" ca="1">IF(B260="Yes",YEAR(TODAY()),BLANK())</f>
        <v>#NAME?</v>
      </c>
      <c r="AN260" t="str" cm="1">
        <f t="array" ref="AN260" xml:space="preserve"> _xlfn.IFS(A260&lt;25,"&lt;25",
A260&lt;=35,"25-35",
A260&lt;=45,"36-45",
TRUE,"45+"
)</f>
        <v>45+</v>
      </c>
      <c r="AO260" t="str" cm="1">
        <f t="array" ref="AO260">_xlfn.IFS(S260&lt;5000,"Low",
S260&lt;=15000,"Medium",
TRUE,"High")</f>
        <v>Low</v>
      </c>
    </row>
    <row r="261" spans="1:41" hidden="1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 t="str">
        <f t="shared" si="12"/>
        <v>Resigned</v>
      </c>
      <c r="AK261">
        <f t="shared" ca="1" si="13"/>
        <v>2019</v>
      </c>
      <c r="AL261">
        <f t="shared" si="14"/>
        <v>1</v>
      </c>
      <c r="AM261" cm="1">
        <f t="array" aca="1" ref="AM261" ca="1">IF(B261="Yes",YEAR(TODAY()),BLANK())</f>
        <v>2025</v>
      </c>
      <c r="AN261" t="str" cm="1">
        <f t="array" ref="AN261" xml:space="preserve"> _xlfn.IFS(A261&lt;25,"&lt;25",
A261&lt;=35,"25-35",
A261&lt;=45,"36-45",
TRUE,"45+"
)</f>
        <v>25-35</v>
      </c>
      <c r="AO261" t="str" cm="1">
        <f t="array" ref="AO261">_xlfn.IFS(S261&lt;5000,"Low",
S261&lt;=15000,"Medium",
TRUE,"High")</f>
        <v>Low</v>
      </c>
    </row>
    <row r="262" spans="1:41" hidden="1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 t="str">
        <f t="shared" si="12"/>
        <v>Active</v>
      </c>
      <c r="AK262">
        <f t="shared" ca="1" si="13"/>
        <v>2020</v>
      </c>
      <c r="AL262">
        <f t="shared" si="14"/>
        <v>0</v>
      </c>
      <c r="AM262" t="e" cm="1">
        <f t="array" aca="1" ref="AM262" ca="1">IF(B262="Yes",YEAR(TODAY()),BLANK())</f>
        <v>#NAME?</v>
      </c>
      <c r="AN262" t="str" cm="1">
        <f t="array" ref="AN262" xml:space="preserve"> _xlfn.IFS(A262&lt;25,"&lt;25",
A262&lt;=35,"25-35",
A262&lt;=45,"36-45",
TRUE,"45+"
)</f>
        <v>25-35</v>
      </c>
      <c r="AO262" t="str" cm="1">
        <f t="array" ref="AO262">_xlfn.IFS(S262&lt;5000,"Low",
S262&lt;=15000,"Medium",
TRUE,"High")</f>
        <v>Low</v>
      </c>
    </row>
    <row r="263" spans="1:41" hidden="1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 t="str">
        <f t="shared" si="12"/>
        <v>Active</v>
      </c>
      <c r="AK263">
        <f t="shared" ca="1" si="13"/>
        <v>2012</v>
      </c>
      <c r="AL263">
        <f t="shared" si="14"/>
        <v>0</v>
      </c>
      <c r="AM263" t="e" cm="1">
        <f t="array" aca="1" ref="AM263" ca="1">IF(B263="Yes",YEAR(TODAY()),BLANK())</f>
        <v>#NAME?</v>
      </c>
      <c r="AN263" t="str" cm="1">
        <f t="array" ref="AN263" xml:space="preserve"> _xlfn.IFS(A263&lt;25,"&lt;25",
A263&lt;=35,"25-35",
A263&lt;=45,"36-45",
TRUE,"45+"
)</f>
        <v>36-45</v>
      </c>
      <c r="AO263" t="str" cm="1">
        <f t="array" ref="AO263">_xlfn.IFS(S263&lt;5000,"Low",
S263&lt;=15000,"Medium",
TRUE,"High")</f>
        <v>Medium</v>
      </c>
    </row>
    <row r="264" spans="1:41" hidden="1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 t="str">
        <f t="shared" si="12"/>
        <v>Active</v>
      </c>
      <c r="AK264">
        <f t="shared" ca="1" si="13"/>
        <v>2016</v>
      </c>
      <c r="AL264">
        <f t="shared" si="14"/>
        <v>0</v>
      </c>
      <c r="AM264" t="e" cm="1">
        <f t="array" aca="1" ref="AM264" ca="1">IF(B264="Yes",YEAR(TODAY()),BLANK())</f>
        <v>#NAME?</v>
      </c>
      <c r="AN264" t="str" cm="1">
        <f t="array" ref="AN264" xml:space="preserve"> _xlfn.IFS(A264&lt;25,"&lt;25",
A264&lt;=35,"25-35",
A264&lt;=45,"36-45",
TRUE,"45+"
)</f>
        <v>25-35</v>
      </c>
      <c r="AO264" t="str" cm="1">
        <f t="array" ref="AO264">_xlfn.IFS(S264&lt;5000,"Low",
S264&lt;=15000,"Medium",
TRUE,"High")</f>
        <v>Low</v>
      </c>
    </row>
    <row r="265" spans="1:41" hidden="1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 t="str">
        <f t="shared" si="12"/>
        <v>Active</v>
      </c>
      <c r="AK265">
        <f t="shared" ca="1" si="13"/>
        <v>1997</v>
      </c>
      <c r="AL265">
        <f t="shared" si="14"/>
        <v>0</v>
      </c>
      <c r="AM265" t="e" cm="1">
        <f t="array" aca="1" ref="AM265" ca="1">IF(B265="Yes",YEAR(TODAY()),BLANK())</f>
        <v>#NAME?</v>
      </c>
      <c r="AN265" t="str" cm="1">
        <f t="array" ref="AN265" xml:space="preserve"> _xlfn.IFS(A265&lt;25,"&lt;25",
A265&lt;=35,"25-35",
A265&lt;=45,"36-45",
TRUE,"45+"
)</f>
        <v>45+</v>
      </c>
      <c r="AO265" t="str" cm="1">
        <f t="array" ref="AO265">_xlfn.IFS(S265&lt;5000,"Low",
S265&lt;=15000,"Medium",
TRUE,"High")</f>
        <v>High</v>
      </c>
    </row>
    <row r="266" spans="1:41" hidden="1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 t="str">
        <f t="shared" si="12"/>
        <v>Resigned</v>
      </c>
      <c r="AK266">
        <f t="shared" ca="1" si="13"/>
        <v>2020</v>
      </c>
      <c r="AL266">
        <f t="shared" si="14"/>
        <v>1</v>
      </c>
      <c r="AM266" cm="1">
        <f t="array" aca="1" ref="AM266" ca="1">IF(B266="Yes",YEAR(TODAY()),BLANK())</f>
        <v>2025</v>
      </c>
      <c r="AN266" t="str" cm="1">
        <f t="array" ref="AN266" xml:space="preserve"> _xlfn.IFS(A266&lt;25,"&lt;25",
A266&lt;=35,"25-35",
A266&lt;=45,"36-45",
TRUE,"45+"
)</f>
        <v>25-35</v>
      </c>
      <c r="AO266" t="str" cm="1">
        <f t="array" ref="AO266">_xlfn.IFS(S266&lt;5000,"Low",
S266&lt;=15000,"Medium",
TRUE,"High")</f>
        <v>Low</v>
      </c>
    </row>
    <row r="267" spans="1:41" hidden="1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 t="str">
        <f t="shared" si="12"/>
        <v>Active</v>
      </c>
      <c r="AK267">
        <f t="shared" ca="1" si="13"/>
        <v>2015</v>
      </c>
      <c r="AL267">
        <f t="shared" si="14"/>
        <v>0</v>
      </c>
      <c r="AM267" t="e" cm="1">
        <f t="array" aca="1" ref="AM267" ca="1">IF(B267="Yes",YEAR(TODAY()),BLANK())</f>
        <v>#NAME?</v>
      </c>
      <c r="AN267" t="str" cm="1">
        <f t="array" ref="AN267" xml:space="preserve"> _xlfn.IFS(A267&lt;25,"&lt;25",
A267&lt;=35,"25-35",
A267&lt;=45,"36-45",
TRUE,"45+"
)</f>
        <v>25-35</v>
      </c>
      <c r="AO267" t="str" cm="1">
        <f t="array" ref="AO267">_xlfn.IFS(S267&lt;5000,"Low",
S267&lt;=15000,"Medium",
TRUE,"High")</f>
        <v>Medium</v>
      </c>
    </row>
    <row r="268" spans="1:41" hidden="1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 t="str">
        <f t="shared" si="12"/>
        <v>Active</v>
      </c>
      <c r="AK268">
        <f t="shared" ca="1" si="13"/>
        <v>2015</v>
      </c>
      <c r="AL268">
        <f t="shared" si="14"/>
        <v>0</v>
      </c>
      <c r="AM268" t="e" cm="1">
        <f t="array" aca="1" ref="AM268" ca="1">IF(B268="Yes",YEAR(TODAY()),BLANK())</f>
        <v>#NAME?</v>
      </c>
      <c r="AN268" t="str" cm="1">
        <f t="array" ref="AN268" xml:space="preserve"> _xlfn.IFS(A268&lt;25,"&lt;25",
A268&lt;=35,"25-35",
A268&lt;=45,"36-45",
TRUE,"45+"
)</f>
        <v>25-35</v>
      </c>
      <c r="AO268" t="str" cm="1">
        <f t="array" ref="AO268">_xlfn.IFS(S268&lt;5000,"Low",
S268&lt;=15000,"Medium",
TRUE,"High")</f>
        <v>Medium</v>
      </c>
    </row>
    <row r="269" spans="1:41" hidden="1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 t="str">
        <f t="shared" si="12"/>
        <v>Active</v>
      </c>
      <c r="AK269">
        <f t="shared" ca="1" si="13"/>
        <v>2019</v>
      </c>
      <c r="AL269">
        <f t="shared" si="14"/>
        <v>0</v>
      </c>
      <c r="AM269" t="e" cm="1">
        <f t="array" aca="1" ref="AM269" ca="1">IF(B269="Yes",YEAR(TODAY()),BLANK())</f>
        <v>#NAME?</v>
      </c>
      <c r="AN269" t="str" cm="1">
        <f t="array" ref="AN269" xml:space="preserve"> _xlfn.IFS(A269&lt;25,"&lt;25",
A269&lt;=35,"25-35",
A269&lt;=45,"36-45",
TRUE,"45+"
)</f>
        <v>25-35</v>
      </c>
      <c r="AO269" t="str" cm="1">
        <f t="array" ref="AO269">_xlfn.IFS(S269&lt;5000,"Low",
S269&lt;=15000,"Medium",
TRUE,"High")</f>
        <v>Low</v>
      </c>
    </row>
    <row r="270" spans="1:41" hidden="1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 t="str">
        <f t="shared" si="12"/>
        <v>Active</v>
      </c>
      <c r="AK270">
        <f t="shared" ca="1" si="13"/>
        <v>2004</v>
      </c>
      <c r="AL270">
        <f t="shared" si="14"/>
        <v>0</v>
      </c>
      <c r="AM270" t="e" cm="1">
        <f t="array" aca="1" ref="AM270" ca="1">IF(B270="Yes",YEAR(TODAY()),BLANK())</f>
        <v>#NAME?</v>
      </c>
      <c r="AN270" t="str" cm="1">
        <f t="array" ref="AN270" xml:space="preserve"> _xlfn.IFS(A270&lt;25,"&lt;25",
A270&lt;=35,"25-35",
A270&lt;=45,"36-45",
TRUE,"45+"
)</f>
        <v>36-45</v>
      </c>
      <c r="AO270" t="str" cm="1">
        <f t="array" ref="AO270">_xlfn.IFS(S270&lt;5000,"Low",
S270&lt;=15000,"Medium",
TRUE,"High")</f>
        <v>Medium</v>
      </c>
    </row>
    <row r="271" spans="1:41" hidden="1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 t="str">
        <f t="shared" si="12"/>
        <v>Active</v>
      </c>
      <c r="AK271">
        <f t="shared" ca="1" si="13"/>
        <v>2009</v>
      </c>
      <c r="AL271">
        <f t="shared" si="14"/>
        <v>0</v>
      </c>
      <c r="AM271" t="e" cm="1">
        <f t="array" aca="1" ref="AM271" ca="1">IF(B271="Yes",YEAR(TODAY()),BLANK())</f>
        <v>#NAME?</v>
      </c>
      <c r="AN271" t="str" cm="1">
        <f t="array" ref="AN271" xml:space="preserve"> _xlfn.IFS(A271&lt;25,"&lt;25",
A271&lt;=35,"25-35",
A271&lt;=45,"36-45",
TRUE,"45+"
)</f>
        <v>36-45</v>
      </c>
      <c r="AO271" t="str" cm="1">
        <f t="array" ref="AO271">_xlfn.IFS(S271&lt;5000,"Low",
S271&lt;=15000,"Medium",
TRUE,"High")</f>
        <v>Low</v>
      </c>
    </row>
    <row r="272" spans="1:41" hidden="1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 t="str">
        <f t="shared" si="12"/>
        <v>Active</v>
      </c>
      <c r="AK272">
        <f t="shared" ca="1" si="13"/>
        <v>1988</v>
      </c>
      <c r="AL272">
        <f t="shared" si="14"/>
        <v>0</v>
      </c>
      <c r="AM272" t="e" cm="1">
        <f t="array" aca="1" ref="AM272" ca="1">IF(B272="Yes",YEAR(TODAY()),BLANK())</f>
        <v>#NAME?</v>
      </c>
      <c r="AN272" t="str" cm="1">
        <f t="array" ref="AN272" xml:space="preserve"> _xlfn.IFS(A272&lt;25,"&lt;25",
A272&lt;=35,"25-35",
A272&lt;=45,"36-45",
TRUE,"45+"
)</f>
        <v>45+</v>
      </c>
      <c r="AO272" t="str" cm="1">
        <f t="array" ref="AO272">_xlfn.IFS(S272&lt;5000,"Low",
S272&lt;=15000,"Medium",
TRUE,"High")</f>
        <v>High</v>
      </c>
    </row>
    <row r="273" spans="1:41" hidden="1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 t="str">
        <f t="shared" si="12"/>
        <v>Resigned</v>
      </c>
      <c r="AK273">
        <f t="shared" ca="1" si="13"/>
        <v>2015</v>
      </c>
      <c r="AL273">
        <f t="shared" si="14"/>
        <v>1</v>
      </c>
      <c r="AM273" cm="1">
        <f t="array" aca="1" ref="AM273" ca="1">IF(B273="Yes",YEAR(TODAY()),BLANK())</f>
        <v>2025</v>
      </c>
      <c r="AN273" t="str" cm="1">
        <f t="array" ref="AN273" xml:space="preserve"> _xlfn.IFS(A273&lt;25,"&lt;25",
A273&lt;=35,"25-35",
A273&lt;=45,"36-45",
TRUE,"45+"
)</f>
        <v>45+</v>
      </c>
      <c r="AO273" t="str" cm="1">
        <f t="array" ref="AO273">_xlfn.IFS(S273&lt;5000,"Low",
S273&lt;=15000,"Medium",
TRUE,"High")</f>
        <v>Medium</v>
      </c>
    </row>
    <row r="274" spans="1:41" hidden="1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 t="str">
        <f t="shared" si="12"/>
        <v>Active</v>
      </c>
      <c r="AK274">
        <f t="shared" ca="1" si="13"/>
        <v>2020</v>
      </c>
      <c r="AL274">
        <f t="shared" si="14"/>
        <v>0</v>
      </c>
      <c r="AM274" t="e" cm="1">
        <f t="array" aca="1" ref="AM274" ca="1">IF(B274="Yes",YEAR(TODAY()),BLANK())</f>
        <v>#NAME?</v>
      </c>
      <c r="AN274" t="str" cm="1">
        <f t="array" ref="AN274" xml:space="preserve"> _xlfn.IFS(A274&lt;25,"&lt;25",
A274&lt;=35,"25-35",
A274&lt;=45,"36-45",
TRUE,"45+"
)</f>
        <v>25-35</v>
      </c>
      <c r="AO274" t="str" cm="1">
        <f t="array" ref="AO274">_xlfn.IFS(S274&lt;5000,"Low",
S274&lt;=15000,"Medium",
TRUE,"High")</f>
        <v>Low</v>
      </c>
    </row>
    <row r="275" spans="1:41" hidden="1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 t="str">
        <f t="shared" si="12"/>
        <v>Active</v>
      </c>
      <c r="AK275">
        <f t="shared" ca="1" si="13"/>
        <v>2018</v>
      </c>
      <c r="AL275">
        <f t="shared" si="14"/>
        <v>0</v>
      </c>
      <c r="AM275" t="e" cm="1">
        <f t="array" aca="1" ref="AM275" ca="1">IF(B275="Yes",YEAR(TODAY()),BLANK())</f>
        <v>#NAME?</v>
      </c>
      <c r="AN275" t="str" cm="1">
        <f t="array" ref="AN275" xml:space="preserve"> _xlfn.IFS(A275&lt;25,"&lt;25",
A275&lt;=35,"25-35",
A275&lt;=45,"36-45",
TRUE,"45+"
)</f>
        <v>36-45</v>
      </c>
      <c r="AO275" t="str" cm="1">
        <f t="array" ref="AO275">_xlfn.IFS(S275&lt;5000,"Low",
S275&lt;=15000,"Medium",
TRUE,"High")</f>
        <v>Medium</v>
      </c>
    </row>
    <row r="276" spans="1:41" hidden="1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 t="str">
        <f t="shared" si="12"/>
        <v>Active</v>
      </c>
      <c r="AK276">
        <f t="shared" ca="1" si="13"/>
        <v>2022</v>
      </c>
      <c r="AL276">
        <f t="shared" si="14"/>
        <v>0</v>
      </c>
      <c r="AM276" t="e" cm="1">
        <f t="array" aca="1" ref="AM276" ca="1">IF(B276="Yes",YEAR(TODAY()),BLANK())</f>
        <v>#NAME?</v>
      </c>
      <c r="AN276" t="str" cm="1">
        <f t="array" ref="AN276" xml:space="preserve"> _xlfn.IFS(A276&lt;25,"&lt;25",
A276&lt;=35,"25-35",
A276&lt;=45,"36-45",
TRUE,"45+"
)</f>
        <v>&lt;25</v>
      </c>
      <c r="AO276" t="str" cm="1">
        <f t="array" ref="AO276">_xlfn.IFS(S276&lt;5000,"Low",
S276&lt;=15000,"Medium",
TRUE,"High")</f>
        <v>Low</v>
      </c>
    </row>
    <row r="277" spans="1:41" hidden="1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 t="str">
        <f t="shared" si="12"/>
        <v>Active</v>
      </c>
      <c r="AK277">
        <f t="shared" ca="1" si="13"/>
        <v>2010</v>
      </c>
      <c r="AL277">
        <f t="shared" si="14"/>
        <v>0</v>
      </c>
      <c r="AM277" t="e" cm="1">
        <f t="array" aca="1" ref="AM277" ca="1">IF(B277="Yes",YEAR(TODAY()),BLANK())</f>
        <v>#NAME?</v>
      </c>
      <c r="AN277" t="str" cm="1">
        <f t="array" ref="AN277" xml:space="preserve"> _xlfn.IFS(A277&lt;25,"&lt;25",
A277&lt;=35,"25-35",
A277&lt;=45,"36-45",
TRUE,"45+"
)</f>
        <v>36-45</v>
      </c>
      <c r="AO277" t="str" cm="1">
        <f t="array" ref="AO277">_xlfn.IFS(S277&lt;5000,"Low",
S277&lt;=15000,"Medium",
TRUE,"High")</f>
        <v>Medium</v>
      </c>
    </row>
    <row r="278" spans="1:41" hidden="1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 t="str">
        <f t="shared" si="12"/>
        <v>Active</v>
      </c>
      <c r="AK278">
        <f t="shared" ca="1" si="13"/>
        <v>2015</v>
      </c>
      <c r="AL278">
        <f t="shared" si="14"/>
        <v>0</v>
      </c>
      <c r="AM278" t="e" cm="1">
        <f t="array" aca="1" ref="AM278" ca="1">IF(B278="Yes",YEAR(TODAY()),BLANK())</f>
        <v>#NAME?</v>
      </c>
      <c r="AN278" t="str" cm="1">
        <f t="array" ref="AN278" xml:space="preserve"> _xlfn.IFS(A278&lt;25,"&lt;25",
A278&lt;=35,"25-35",
A278&lt;=45,"36-45",
TRUE,"45+"
)</f>
        <v>25-35</v>
      </c>
      <c r="AO278" t="str" cm="1">
        <f t="array" ref="AO278">_xlfn.IFS(S278&lt;5000,"Low",
S278&lt;=15000,"Medium",
TRUE,"High")</f>
        <v>Medium</v>
      </c>
    </row>
    <row r="279" spans="1:41" hidden="1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 t="str">
        <f t="shared" si="12"/>
        <v>Active</v>
      </c>
      <c r="AK279">
        <f t="shared" ca="1" si="13"/>
        <v>2017</v>
      </c>
      <c r="AL279">
        <f t="shared" si="14"/>
        <v>0</v>
      </c>
      <c r="AM279" t="e" cm="1">
        <f t="array" aca="1" ref="AM279" ca="1">IF(B279="Yes",YEAR(TODAY()),BLANK())</f>
        <v>#NAME?</v>
      </c>
      <c r="AN279" t="str" cm="1">
        <f t="array" ref="AN279" xml:space="preserve"> _xlfn.IFS(A279&lt;25,"&lt;25",
A279&lt;=35,"25-35",
A279&lt;=45,"36-45",
TRUE,"45+"
)</f>
        <v>36-45</v>
      </c>
      <c r="AO279" t="str" cm="1">
        <f t="array" ref="AO279">_xlfn.IFS(S279&lt;5000,"Low",
S279&lt;=15000,"Medium",
TRUE,"High")</f>
        <v>Medium</v>
      </c>
    </row>
    <row r="280" spans="1:41" hidden="1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 t="str">
        <f t="shared" si="12"/>
        <v>Active</v>
      </c>
      <c r="AK280">
        <f t="shared" ca="1" si="13"/>
        <v>2019</v>
      </c>
      <c r="AL280">
        <f t="shared" si="14"/>
        <v>0</v>
      </c>
      <c r="AM280" t="e" cm="1">
        <f t="array" aca="1" ref="AM280" ca="1">IF(B280="Yes",YEAR(TODAY()),BLANK())</f>
        <v>#NAME?</v>
      </c>
      <c r="AN280" t="str" cm="1">
        <f t="array" ref="AN280" xml:space="preserve"> _xlfn.IFS(A280&lt;25,"&lt;25",
A280&lt;=35,"25-35",
A280&lt;=45,"36-45",
TRUE,"45+"
)</f>
        <v>25-35</v>
      </c>
      <c r="AO280" t="str" cm="1">
        <f t="array" ref="AO280">_xlfn.IFS(S280&lt;5000,"Low",
S280&lt;=15000,"Medium",
TRUE,"High")</f>
        <v>Medium</v>
      </c>
    </row>
    <row r="281" spans="1:41" hidden="1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 t="str">
        <f t="shared" si="12"/>
        <v>Active</v>
      </c>
      <c r="AK281">
        <f t="shared" ca="1" si="13"/>
        <v>1997</v>
      </c>
      <c r="AL281">
        <f t="shared" si="14"/>
        <v>0</v>
      </c>
      <c r="AM281" t="e" cm="1">
        <f t="array" aca="1" ref="AM281" ca="1">IF(B281="Yes",YEAR(TODAY()),BLANK())</f>
        <v>#NAME?</v>
      </c>
      <c r="AN281" t="str" cm="1">
        <f t="array" ref="AN281" xml:space="preserve"> _xlfn.IFS(A281&lt;25,"&lt;25",
A281&lt;=35,"25-35",
A281&lt;=45,"36-45",
TRUE,"45+"
)</f>
        <v>45+</v>
      </c>
      <c r="AO281" t="str" cm="1">
        <f t="array" ref="AO281">_xlfn.IFS(S281&lt;5000,"Low",
S281&lt;=15000,"Medium",
TRUE,"High")</f>
        <v>High</v>
      </c>
    </row>
    <row r="282" spans="1:41" hidden="1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 t="str">
        <f t="shared" si="12"/>
        <v>Active</v>
      </c>
      <c r="AK282">
        <f t="shared" ca="1" si="13"/>
        <v>2004</v>
      </c>
      <c r="AL282">
        <f t="shared" si="14"/>
        <v>0</v>
      </c>
      <c r="AM282" t="e" cm="1">
        <f t="array" aca="1" ref="AM282" ca="1">IF(B282="Yes",YEAR(TODAY()),BLANK())</f>
        <v>#NAME?</v>
      </c>
      <c r="AN282" t="str" cm="1">
        <f t="array" ref="AN282" xml:space="preserve"> _xlfn.IFS(A282&lt;25,"&lt;25",
A282&lt;=35,"25-35",
A282&lt;=45,"36-45",
TRUE,"45+"
)</f>
        <v>45+</v>
      </c>
      <c r="AO282" t="str" cm="1">
        <f t="array" ref="AO282">_xlfn.IFS(S282&lt;5000,"Low",
S282&lt;=15000,"Medium",
TRUE,"High")</f>
        <v>High</v>
      </c>
    </row>
    <row r="283" spans="1:41" hidden="1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 t="str">
        <f t="shared" si="12"/>
        <v>Active</v>
      </c>
      <c r="AK283">
        <f t="shared" ca="1" si="13"/>
        <v>2005</v>
      </c>
      <c r="AL283">
        <f t="shared" si="14"/>
        <v>0</v>
      </c>
      <c r="AM283" t="e" cm="1">
        <f t="array" aca="1" ref="AM283" ca="1">IF(B283="Yes",YEAR(TODAY()),BLANK())</f>
        <v>#NAME?</v>
      </c>
      <c r="AN283" t="str" cm="1">
        <f t="array" ref="AN283" xml:space="preserve"> _xlfn.IFS(A283&lt;25,"&lt;25",
A283&lt;=35,"25-35",
A283&lt;=45,"36-45",
TRUE,"45+"
)</f>
        <v>36-45</v>
      </c>
      <c r="AO283" t="str" cm="1">
        <f t="array" ref="AO283">_xlfn.IFS(S283&lt;5000,"Low",
S283&lt;=15000,"Medium",
TRUE,"High")</f>
        <v>Low</v>
      </c>
    </row>
    <row r="284" spans="1:41" hidden="1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 t="str">
        <f t="shared" si="12"/>
        <v>Active</v>
      </c>
      <c r="AK284">
        <f t="shared" ca="1" si="13"/>
        <v>2015</v>
      </c>
      <c r="AL284">
        <f t="shared" si="14"/>
        <v>0</v>
      </c>
      <c r="AM284" t="e" cm="1">
        <f t="array" aca="1" ref="AM284" ca="1">IF(B284="Yes",YEAR(TODAY()),BLANK())</f>
        <v>#NAME?</v>
      </c>
      <c r="AN284" t="str" cm="1">
        <f t="array" ref="AN284" xml:space="preserve"> _xlfn.IFS(A284&lt;25,"&lt;25",
A284&lt;=35,"25-35",
A284&lt;=45,"36-45",
TRUE,"45+"
)</f>
        <v>25-35</v>
      </c>
      <c r="AO284" t="str" cm="1">
        <f t="array" ref="AO284">_xlfn.IFS(S284&lt;5000,"Low",
S284&lt;=15000,"Medium",
TRUE,"High")</f>
        <v>Low</v>
      </c>
    </row>
    <row r="285" spans="1:41" hidden="1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 t="str">
        <f t="shared" si="12"/>
        <v>Active</v>
      </c>
      <c r="AK285">
        <f t="shared" ca="1" si="13"/>
        <v>2013</v>
      </c>
      <c r="AL285">
        <f t="shared" si="14"/>
        <v>0</v>
      </c>
      <c r="AM285" t="e" cm="1">
        <f t="array" aca="1" ref="AM285" ca="1">IF(B285="Yes",YEAR(TODAY()),BLANK())</f>
        <v>#NAME?</v>
      </c>
      <c r="AN285" t="str" cm="1">
        <f t="array" ref="AN285" xml:space="preserve"> _xlfn.IFS(A285&lt;25,"&lt;25",
A285&lt;=35,"25-35",
A285&lt;=45,"36-45",
TRUE,"45+"
)</f>
        <v>45+</v>
      </c>
      <c r="AO285" t="str" cm="1">
        <f t="array" ref="AO285">_xlfn.IFS(S285&lt;5000,"Low",
S285&lt;=15000,"Medium",
TRUE,"High")</f>
        <v>Medium</v>
      </c>
    </row>
    <row r="286" spans="1:41" hidden="1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 t="str">
        <f t="shared" si="12"/>
        <v>Active</v>
      </c>
      <c r="AK286">
        <f t="shared" ca="1" si="13"/>
        <v>2020</v>
      </c>
      <c r="AL286">
        <f t="shared" si="14"/>
        <v>0</v>
      </c>
      <c r="AM286" t="e" cm="1">
        <f t="array" aca="1" ref="AM286" ca="1">IF(B286="Yes",YEAR(TODAY()),BLANK())</f>
        <v>#NAME?</v>
      </c>
      <c r="AN286" t="str" cm="1">
        <f t="array" ref="AN286" xml:space="preserve"> _xlfn.IFS(A286&lt;25,"&lt;25",
A286&lt;=35,"25-35",
A286&lt;=45,"36-45",
TRUE,"45+"
)</f>
        <v>25-35</v>
      </c>
      <c r="AO286" t="str" cm="1">
        <f t="array" ref="AO286">_xlfn.IFS(S286&lt;5000,"Low",
S286&lt;=15000,"Medium",
TRUE,"High")</f>
        <v>Low</v>
      </c>
    </row>
    <row r="287" spans="1:41" hidden="1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 t="str">
        <f t="shared" si="12"/>
        <v>Active</v>
      </c>
      <c r="AK287">
        <f t="shared" ca="1" si="13"/>
        <v>2008</v>
      </c>
      <c r="AL287">
        <f t="shared" si="14"/>
        <v>0</v>
      </c>
      <c r="AM287" t="e" cm="1">
        <f t="array" aca="1" ref="AM287" ca="1">IF(B287="Yes",YEAR(TODAY()),BLANK())</f>
        <v>#NAME?</v>
      </c>
      <c r="AN287" t="str" cm="1">
        <f t="array" ref="AN287" xml:space="preserve"> _xlfn.IFS(A287&lt;25,"&lt;25",
A287&lt;=35,"25-35",
A287&lt;=45,"36-45",
TRUE,"45+"
)</f>
        <v>36-45</v>
      </c>
      <c r="AO287" t="str" cm="1">
        <f t="array" ref="AO287">_xlfn.IFS(S287&lt;5000,"Low",
S287&lt;=15000,"Medium",
TRUE,"High")</f>
        <v>Low</v>
      </c>
    </row>
    <row r="288" spans="1:41" hidden="1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 t="str">
        <f t="shared" si="12"/>
        <v>Resigned</v>
      </c>
      <c r="AK288">
        <f t="shared" ca="1" si="13"/>
        <v>2006</v>
      </c>
      <c r="AL288">
        <f t="shared" si="14"/>
        <v>1</v>
      </c>
      <c r="AM288" cm="1">
        <f t="array" aca="1" ref="AM288" ca="1">IF(B288="Yes",YEAR(TODAY()),BLANK())</f>
        <v>2025</v>
      </c>
      <c r="AN288" t="str" cm="1">
        <f t="array" ref="AN288" xml:space="preserve"> _xlfn.IFS(A288&lt;25,"&lt;25",
A288&lt;=35,"25-35",
A288&lt;=45,"36-45",
TRUE,"45+"
)</f>
        <v>36-45</v>
      </c>
      <c r="AO288" t="str" cm="1">
        <f t="array" ref="AO288">_xlfn.IFS(S288&lt;5000,"Low",
S288&lt;=15000,"Medium",
TRUE,"High")</f>
        <v>Low</v>
      </c>
    </row>
    <row r="289" spans="1:41" hidden="1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 t="str">
        <f t="shared" si="12"/>
        <v>Active</v>
      </c>
      <c r="AK289">
        <f t="shared" ca="1" si="13"/>
        <v>2015</v>
      </c>
      <c r="AL289">
        <f t="shared" si="14"/>
        <v>0</v>
      </c>
      <c r="AM289" t="e" cm="1">
        <f t="array" aca="1" ref="AM289" ca="1">IF(B289="Yes",YEAR(TODAY()),BLANK())</f>
        <v>#NAME?</v>
      </c>
      <c r="AN289" t="str" cm="1">
        <f t="array" ref="AN289" xml:space="preserve"> _xlfn.IFS(A289&lt;25,"&lt;25",
A289&lt;=35,"25-35",
A289&lt;=45,"36-45",
TRUE,"45+"
)</f>
        <v>36-45</v>
      </c>
      <c r="AO289" t="str" cm="1">
        <f t="array" ref="AO289">_xlfn.IFS(S289&lt;5000,"Low",
S289&lt;=15000,"Medium",
TRUE,"High")</f>
        <v>Medium</v>
      </c>
    </row>
    <row r="290" spans="1:41" hidden="1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 t="str">
        <f t="shared" si="12"/>
        <v>Resigned</v>
      </c>
      <c r="AK290">
        <f t="shared" ca="1" si="13"/>
        <v>2020</v>
      </c>
      <c r="AL290">
        <f t="shared" si="14"/>
        <v>1</v>
      </c>
      <c r="AM290" cm="1">
        <f t="array" aca="1" ref="AM290" ca="1">IF(B290="Yes",YEAR(TODAY()),BLANK())</f>
        <v>2025</v>
      </c>
      <c r="AN290" t="str" cm="1">
        <f t="array" ref="AN290" xml:space="preserve"> _xlfn.IFS(A290&lt;25,"&lt;25",
A290&lt;=35,"25-35",
A290&lt;=45,"36-45",
TRUE,"45+"
)</f>
        <v>25-35</v>
      </c>
      <c r="AO290" t="str" cm="1">
        <f t="array" ref="AO290">_xlfn.IFS(S290&lt;5000,"Low",
S290&lt;=15000,"Medium",
TRUE,"High")</f>
        <v>Low</v>
      </c>
    </row>
    <row r="291" spans="1:41" hidden="1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 t="str">
        <f t="shared" si="12"/>
        <v>Active</v>
      </c>
      <c r="AK291">
        <f t="shared" ca="1" si="13"/>
        <v>2020</v>
      </c>
      <c r="AL291">
        <f t="shared" si="14"/>
        <v>0</v>
      </c>
      <c r="AM291" t="e" cm="1">
        <f t="array" aca="1" ref="AM291" ca="1">IF(B291="Yes",YEAR(TODAY()),BLANK())</f>
        <v>#NAME?</v>
      </c>
      <c r="AN291" t="str" cm="1">
        <f t="array" ref="AN291" xml:space="preserve"> _xlfn.IFS(A291&lt;25,"&lt;25",
A291&lt;=35,"25-35",
A291&lt;=45,"36-45",
TRUE,"45+"
)</f>
        <v>25-35</v>
      </c>
      <c r="AO291" t="str" cm="1">
        <f t="array" ref="AO291">_xlfn.IFS(S291&lt;5000,"Low",
S291&lt;=15000,"Medium",
TRUE,"High")</f>
        <v>Low</v>
      </c>
    </row>
    <row r="292" spans="1:41" hidden="1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 t="str">
        <f t="shared" si="12"/>
        <v>Active</v>
      </c>
      <c r="AK292">
        <f t="shared" ca="1" si="13"/>
        <v>2003</v>
      </c>
      <c r="AL292">
        <f t="shared" si="14"/>
        <v>0</v>
      </c>
      <c r="AM292" t="e" cm="1">
        <f t="array" aca="1" ref="AM292" ca="1">IF(B292="Yes",YEAR(TODAY()),BLANK())</f>
        <v>#NAME?</v>
      </c>
      <c r="AN292" t="str" cm="1">
        <f t="array" ref="AN292" xml:space="preserve"> _xlfn.IFS(A292&lt;25,"&lt;25",
A292&lt;=35,"25-35",
A292&lt;=45,"36-45",
TRUE,"45+"
)</f>
        <v>45+</v>
      </c>
      <c r="AO292" t="str" cm="1">
        <f t="array" ref="AO292">_xlfn.IFS(S292&lt;5000,"Low",
S292&lt;=15000,"Medium",
TRUE,"High")</f>
        <v>High</v>
      </c>
    </row>
    <row r="293" spans="1:41" hidden="1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 t="str">
        <f t="shared" si="12"/>
        <v>Active</v>
      </c>
      <c r="AK293">
        <f t="shared" ca="1" si="13"/>
        <v>2015</v>
      </c>
      <c r="AL293">
        <f t="shared" si="14"/>
        <v>0</v>
      </c>
      <c r="AM293" t="e" cm="1">
        <f t="array" aca="1" ref="AM293" ca="1">IF(B293="Yes",YEAR(TODAY()),BLANK())</f>
        <v>#NAME?</v>
      </c>
      <c r="AN293" t="str" cm="1">
        <f t="array" ref="AN293" xml:space="preserve"> _xlfn.IFS(A293&lt;25,"&lt;25",
A293&lt;=35,"25-35",
A293&lt;=45,"36-45",
TRUE,"45+"
)</f>
        <v>36-45</v>
      </c>
      <c r="AO293" t="str" cm="1">
        <f t="array" ref="AO293">_xlfn.IFS(S293&lt;5000,"Low",
S293&lt;=15000,"Medium",
TRUE,"High")</f>
        <v>Low</v>
      </c>
    </row>
    <row r="294" spans="1:41" hidden="1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 t="str">
        <f t="shared" si="12"/>
        <v>Active</v>
      </c>
      <c r="AK294">
        <f t="shared" ca="1" si="13"/>
        <v>2023</v>
      </c>
      <c r="AL294">
        <f t="shared" si="14"/>
        <v>0</v>
      </c>
      <c r="AM294" t="e" cm="1">
        <f t="array" aca="1" ref="AM294" ca="1">IF(B294="Yes",YEAR(TODAY()),BLANK())</f>
        <v>#NAME?</v>
      </c>
      <c r="AN294" t="str" cm="1">
        <f t="array" ref="AN294" xml:space="preserve"> _xlfn.IFS(A294&lt;25,"&lt;25",
A294&lt;=35,"25-35",
A294&lt;=45,"36-45",
TRUE,"45+"
)</f>
        <v>25-35</v>
      </c>
      <c r="AO294" t="str" cm="1">
        <f t="array" ref="AO294">_xlfn.IFS(S294&lt;5000,"Low",
S294&lt;=15000,"Medium",
TRUE,"High")</f>
        <v>Low</v>
      </c>
    </row>
    <row r="295" spans="1:41" hidden="1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 t="str">
        <f t="shared" si="12"/>
        <v>Resigned</v>
      </c>
      <c r="AK295">
        <f t="shared" ca="1" si="13"/>
        <v>2017</v>
      </c>
      <c r="AL295">
        <f t="shared" si="14"/>
        <v>1</v>
      </c>
      <c r="AM295" cm="1">
        <f t="array" aca="1" ref="AM295" ca="1">IF(B295="Yes",YEAR(TODAY()),BLANK())</f>
        <v>2025</v>
      </c>
      <c r="AN295" t="str" cm="1">
        <f t="array" ref="AN295" xml:space="preserve"> _xlfn.IFS(A295&lt;25,"&lt;25",
A295&lt;=35,"25-35",
A295&lt;=45,"36-45",
TRUE,"45+"
)</f>
        <v>25-35</v>
      </c>
      <c r="AO295" t="str" cm="1">
        <f t="array" ref="AO295">_xlfn.IFS(S295&lt;5000,"Low",
S295&lt;=15000,"Medium",
TRUE,"High")</f>
        <v>Medium</v>
      </c>
    </row>
    <row r="296" spans="1:41" hidden="1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 t="str">
        <f t="shared" si="12"/>
        <v>Active</v>
      </c>
      <c r="AK296">
        <f t="shared" ca="1" si="13"/>
        <v>2021</v>
      </c>
      <c r="AL296">
        <f t="shared" si="14"/>
        <v>0</v>
      </c>
      <c r="AM296" t="e" cm="1">
        <f t="array" aca="1" ref="AM296" ca="1">IF(B296="Yes",YEAR(TODAY()),BLANK())</f>
        <v>#NAME?</v>
      </c>
      <c r="AN296" t="str" cm="1">
        <f t="array" ref="AN296" xml:space="preserve"> _xlfn.IFS(A296&lt;25,"&lt;25",
A296&lt;=35,"25-35",
A296&lt;=45,"36-45",
TRUE,"45+"
)</f>
        <v>36-45</v>
      </c>
      <c r="AO296" t="str" cm="1">
        <f t="array" ref="AO296">_xlfn.IFS(S296&lt;5000,"Low",
S296&lt;=15000,"Medium",
TRUE,"High")</f>
        <v>Low</v>
      </c>
    </row>
    <row r="297" spans="1:41" hidden="1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 t="str">
        <f t="shared" si="12"/>
        <v>Active</v>
      </c>
      <c r="AK297">
        <f t="shared" ca="1" si="13"/>
        <v>2002</v>
      </c>
      <c r="AL297">
        <f t="shared" si="14"/>
        <v>0</v>
      </c>
      <c r="AM297" t="e" cm="1">
        <f t="array" aca="1" ref="AM297" ca="1">IF(B297="Yes",YEAR(TODAY()),BLANK())</f>
        <v>#NAME?</v>
      </c>
      <c r="AN297" t="str" cm="1">
        <f t="array" ref="AN297" xml:space="preserve"> _xlfn.IFS(A297&lt;25,"&lt;25",
A297&lt;=35,"25-35",
A297&lt;=45,"36-45",
TRUE,"45+"
)</f>
        <v>36-45</v>
      </c>
      <c r="AO297" t="str" cm="1">
        <f t="array" ref="AO297">_xlfn.IFS(S297&lt;5000,"Low",
S297&lt;=15000,"Medium",
TRUE,"High")</f>
        <v>Medium</v>
      </c>
    </row>
    <row r="298" spans="1:41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 t="str">
        <f t="shared" si="12"/>
        <v>Resigned</v>
      </c>
      <c r="AK298">
        <f t="shared" ca="1" si="13"/>
        <v>2025</v>
      </c>
      <c r="AL298">
        <f t="shared" si="14"/>
        <v>1</v>
      </c>
      <c r="AM298" cm="1">
        <f t="array" aca="1" ref="AM298" ca="1">IF(B298="Yes",YEAR(TODAY()),BLANK())</f>
        <v>2025</v>
      </c>
      <c r="AN298" t="str" cm="1">
        <f t="array" ref="AN298" xml:space="preserve"> _xlfn.IFS(A298&lt;25,"&lt;25",
A298&lt;=35,"25-35",
A298&lt;=45,"36-45",
TRUE,"45+"
)</f>
        <v>&lt;25</v>
      </c>
      <c r="AO298" t="str" cm="1">
        <f t="array" ref="AO298">_xlfn.IFS(S298&lt;5000,"Low",
S298&lt;=15000,"Medium",
TRUE,"High")</f>
        <v>Low</v>
      </c>
    </row>
    <row r="299" spans="1:41" hidden="1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 t="str">
        <f t="shared" si="12"/>
        <v>Active</v>
      </c>
      <c r="AK299">
        <f t="shared" ca="1" si="13"/>
        <v>2013</v>
      </c>
      <c r="AL299">
        <f t="shared" si="14"/>
        <v>0</v>
      </c>
      <c r="AM299" t="e" cm="1">
        <f t="array" aca="1" ref="AM299" ca="1">IF(B299="Yes",YEAR(TODAY()),BLANK())</f>
        <v>#NAME?</v>
      </c>
      <c r="AN299" t="str" cm="1">
        <f t="array" ref="AN299" xml:space="preserve"> _xlfn.IFS(A299&lt;25,"&lt;25",
A299&lt;=35,"25-35",
A299&lt;=45,"36-45",
TRUE,"45+"
)</f>
        <v>25-35</v>
      </c>
      <c r="AO299" t="str" cm="1">
        <f t="array" ref="AO299">_xlfn.IFS(S299&lt;5000,"Low",
S299&lt;=15000,"Medium",
TRUE,"High")</f>
        <v>Medium</v>
      </c>
    </row>
    <row r="300" spans="1:41" hidden="1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 t="str">
        <f t="shared" si="12"/>
        <v>Active</v>
      </c>
      <c r="AK300">
        <f t="shared" ca="1" si="13"/>
        <v>2021</v>
      </c>
      <c r="AL300">
        <f t="shared" si="14"/>
        <v>0</v>
      </c>
      <c r="AM300" t="e" cm="1">
        <f t="array" aca="1" ref="AM300" ca="1">IF(B300="Yes",YEAR(TODAY()),BLANK())</f>
        <v>#NAME?</v>
      </c>
      <c r="AN300" t="str" cm="1">
        <f t="array" ref="AN300" xml:space="preserve"> _xlfn.IFS(A300&lt;25,"&lt;25",
A300&lt;=35,"25-35",
A300&lt;=45,"36-45",
TRUE,"45+"
)</f>
        <v>36-45</v>
      </c>
      <c r="AO300" t="str" cm="1">
        <f t="array" ref="AO300">_xlfn.IFS(S300&lt;5000,"Low",
S300&lt;=15000,"Medium",
TRUE,"High")</f>
        <v>Low</v>
      </c>
    </row>
    <row r="301" spans="1:41" hidden="1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 t="str">
        <f t="shared" si="12"/>
        <v>Active</v>
      </c>
      <c r="AK301">
        <f t="shared" ca="1" si="13"/>
        <v>2012</v>
      </c>
      <c r="AL301">
        <f t="shared" si="14"/>
        <v>0</v>
      </c>
      <c r="AM301" t="e" cm="1">
        <f t="array" aca="1" ref="AM301" ca="1">IF(B301="Yes",YEAR(TODAY()),BLANK())</f>
        <v>#NAME?</v>
      </c>
      <c r="AN301" t="str" cm="1">
        <f t="array" ref="AN301" xml:space="preserve"> _xlfn.IFS(A301&lt;25,"&lt;25",
A301&lt;=35,"25-35",
A301&lt;=45,"36-45",
TRUE,"45+"
)</f>
        <v>45+</v>
      </c>
      <c r="AO301" t="str" cm="1">
        <f t="array" ref="AO301">_xlfn.IFS(S301&lt;5000,"Low",
S301&lt;=15000,"Medium",
TRUE,"High")</f>
        <v>Medium</v>
      </c>
    </row>
    <row r="302" spans="1:41" hidden="1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 t="str">
        <f t="shared" si="12"/>
        <v>Active</v>
      </c>
      <c r="AK302">
        <f t="shared" ca="1" si="13"/>
        <v>2003</v>
      </c>
      <c r="AL302">
        <f t="shared" si="14"/>
        <v>0</v>
      </c>
      <c r="AM302" t="e" cm="1">
        <f t="array" aca="1" ref="AM302" ca="1">IF(B302="Yes",YEAR(TODAY()),BLANK())</f>
        <v>#NAME?</v>
      </c>
      <c r="AN302" t="str" cm="1">
        <f t="array" ref="AN302" xml:space="preserve"> _xlfn.IFS(A302&lt;25,"&lt;25",
A302&lt;=35,"25-35",
A302&lt;=45,"36-45",
TRUE,"45+"
)</f>
        <v>36-45</v>
      </c>
      <c r="AO302" t="str" cm="1">
        <f t="array" ref="AO302">_xlfn.IFS(S302&lt;5000,"Low",
S302&lt;=15000,"Medium",
TRUE,"High")</f>
        <v>High</v>
      </c>
    </row>
    <row r="303" spans="1:41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 t="str">
        <f t="shared" si="12"/>
        <v>Active</v>
      </c>
      <c r="AK303">
        <f t="shared" ca="1" si="13"/>
        <v>2025</v>
      </c>
      <c r="AL303">
        <f t="shared" si="14"/>
        <v>0</v>
      </c>
      <c r="AM303" t="e" cm="1">
        <f t="array" aca="1" ref="AM303" ca="1">IF(B303="Yes",YEAR(TODAY()),BLANK())</f>
        <v>#NAME?</v>
      </c>
      <c r="AN303" t="str" cm="1">
        <f t="array" ref="AN303" xml:space="preserve"> _xlfn.IFS(A303&lt;25,"&lt;25",
A303&lt;=35,"25-35",
A303&lt;=45,"36-45",
TRUE,"45+"
)</f>
        <v>&lt;25</v>
      </c>
      <c r="AO303" t="str" cm="1">
        <f t="array" ref="AO303">_xlfn.IFS(S303&lt;5000,"Low",
S303&lt;=15000,"Medium",
TRUE,"High")</f>
        <v>Low</v>
      </c>
    </row>
    <row r="304" spans="1:41" hidden="1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 t="str">
        <f t="shared" si="12"/>
        <v>Active</v>
      </c>
      <c r="AK304">
        <f t="shared" ca="1" si="13"/>
        <v>2016</v>
      </c>
      <c r="AL304">
        <f t="shared" si="14"/>
        <v>0</v>
      </c>
      <c r="AM304" t="e" cm="1">
        <f t="array" aca="1" ref="AM304" ca="1">IF(B304="Yes",YEAR(TODAY()),BLANK())</f>
        <v>#NAME?</v>
      </c>
      <c r="AN304" t="str" cm="1">
        <f t="array" ref="AN304" xml:space="preserve"> _xlfn.IFS(A304&lt;25,"&lt;25",
A304&lt;=35,"25-35",
A304&lt;=45,"36-45",
TRUE,"45+"
)</f>
        <v>25-35</v>
      </c>
      <c r="AO304" t="str" cm="1">
        <f t="array" ref="AO304">_xlfn.IFS(S304&lt;5000,"Low",
S304&lt;=15000,"Medium",
TRUE,"High")</f>
        <v>Medium</v>
      </c>
    </row>
    <row r="305" spans="1:41" hidden="1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 t="str">
        <f t="shared" si="12"/>
        <v>Active</v>
      </c>
      <c r="AK305">
        <f t="shared" ca="1" si="13"/>
        <v>2015</v>
      </c>
      <c r="AL305">
        <f t="shared" si="14"/>
        <v>0</v>
      </c>
      <c r="AM305" t="e" cm="1">
        <f t="array" aca="1" ref="AM305" ca="1">IF(B305="Yes",YEAR(TODAY()),BLANK())</f>
        <v>#NAME?</v>
      </c>
      <c r="AN305" t="str" cm="1">
        <f t="array" ref="AN305" xml:space="preserve"> _xlfn.IFS(A305&lt;25,"&lt;25",
A305&lt;=35,"25-35",
A305&lt;=45,"36-45",
TRUE,"45+"
)</f>
        <v>25-35</v>
      </c>
      <c r="AO305" t="str" cm="1">
        <f t="array" ref="AO305">_xlfn.IFS(S305&lt;5000,"Low",
S305&lt;=15000,"Medium",
TRUE,"High")</f>
        <v>Medium</v>
      </c>
    </row>
    <row r="306" spans="1:41" hidden="1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 t="str">
        <f t="shared" si="12"/>
        <v>Active</v>
      </c>
      <c r="AK306">
        <f t="shared" ca="1" si="13"/>
        <v>2006</v>
      </c>
      <c r="AL306">
        <f t="shared" si="14"/>
        <v>0</v>
      </c>
      <c r="AM306" t="e" cm="1">
        <f t="array" aca="1" ref="AM306" ca="1">IF(B306="Yes",YEAR(TODAY()),BLANK())</f>
        <v>#NAME?</v>
      </c>
      <c r="AN306" t="str" cm="1">
        <f t="array" ref="AN306" xml:space="preserve"> _xlfn.IFS(A306&lt;25,"&lt;25",
A306&lt;=35,"25-35",
A306&lt;=45,"36-45",
TRUE,"45+"
)</f>
        <v>36-45</v>
      </c>
      <c r="AO306" t="str" cm="1">
        <f t="array" ref="AO306">_xlfn.IFS(S306&lt;5000,"Low",
S306&lt;=15000,"Medium",
TRUE,"High")</f>
        <v>Medium</v>
      </c>
    </row>
    <row r="307" spans="1:41" hidden="1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 t="str">
        <f t="shared" si="12"/>
        <v>Active</v>
      </c>
      <c r="AK307">
        <f t="shared" ca="1" si="13"/>
        <v>2014</v>
      </c>
      <c r="AL307">
        <f t="shared" si="14"/>
        <v>0</v>
      </c>
      <c r="AM307" t="e" cm="1">
        <f t="array" aca="1" ref="AM307" ca="1">IF(B307="Yes",YEAR(TODAY()),BLANK())</f>
        <v>#NAME?</v>
      </c>
      <c r="AN307" t="str" cm="1">
        <f t="array" ref="AN307" xml:space="preserve"> _xlfn.IFS(A307&lt;25,"&lt;25",
A307&lt;=35,"25-35",
A307&lt;=45,"36-45",
TRUE,"45+"
)</f>
        <v>36-45</v>
      </c>
      <c r="AO307" t="str" cm="1">
        <f t="array" ref="AO307">_xlfn.IFS(S307&lt;5000,"Low",
S307&lt;=15000,"Medium",
TRUE,"High")</f>
        <v>Medium</v>
      </c>
    </row>
    <row r="308" spans="1:41" hidden="1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 t="str">
        <f t="shared" si="12"/>
        <v>Active</v>
      </c>
      <c r="AK308">
        <f t="shared" ca="1" si="13"/>
        <v>2012</v>
      </c>
      <c r="AL308">
        <f t="shared" si="14"/>
        <v>0</v>
      </c>
      <c r="AM308" t="e" cm="1">
        <f t="array" aca="1" ref="AM308" ca="1">IF(B308="Yes",YEAR(TODAY()),BLANK())</f>
        <v>#NAME?</v>
      </c>
      <c r="AN308" t="str" cm="1">
        <f t="array" ref="AN308" xml:space="preserve"> _xlfn.IFS(A308&lt;25,"&lt;25",
A308&lt;=35,"25-35",
A308&lt;=45,"36-45",
TRUE,"45+"
)</f>
        <v>25-35</v>
      </c>
      <c r="AO308" t="str" cm="1">
        <f t="array" ref="AO308">_xlfn.IFS(S308&lt;5000,"Low",
S308&lt;=15000,"Medium",
TRUE,"High")</f>
        <v>Medium</v>
      </c>
    </row>
    <row r="309" spans="1:41" hidden="1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 t="str">
        <f t="shared" si="12"/>
        <v>Active</v>
      </c>
      <c r="AK309">
        <f t="shared" ca="1" si="13"/>
        <v>2006</v>
      </c>
      <c r="AL309">
        <f t="shared" si="14"/>
        <v>0</v>
      </c>
      <c r="AM309" t="e" cm="1">
        <f t="array" aca="1" ref="AM309" ca="1">IF(B309="Yes",YEAR(TODAY()),BLANK())</f>
        <v>#NAME?</v>
      </c>
      <c r="AN309" t="str" cm="1">
        <f t="array" ref="AN309" xml:space="preserve"> _xlfn.IFS(A309&lt;25,"&lt;25",
A309&lt;=35,"25-35",
A309&lt;=45,"36-45",
TRUE,"45+"
)</f>
        <v>36-45</v>
      </c>
      <c r="AO309" t="str" cm="1">
        <f t="array" ref="AO309">_xlfn.IFS(S309&lt;5000,"Low",
S309&lt;=15000,"Medium",
TRUE,"High")</f>
        <v>Medium</v>
      </c>
    </row>
    <row r="310" spans="1:41" hidden="1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 t="str">
        <f t="shared" si="12"/>
        <v>Active</v>
      </c>
      <c r="AK310">
        <f t="shared" ca="1" si="13"/>
        <v>2013</v>
      </c>
      <c r="AL310">
        <f t="shared" si="14"/>
        <v>0</v>
      </c>
      <c r="AM310" t="e" cm="1">
        <f t="array" aca="1" ref="AM310" ca="1">IF(B310="Yes",YEAR(TODAY()),BLANK())</f>
        <v>#NAME?</v>
      </c>
      <c r="AN310" t="str" cm="1">
        <f t="array" ref="AN310" xml:space="preserve"> _xlfn.IFS(A310&lt;25,"&lt;25",
A310&lt;=35,"25-35",
A310&lt;=45,"36-45",
TRUE,"45+"
)</f>
        <v>45+</v>
      </c>
      <c r="AO310" t="str" cm="1">
        <f t="array" ref="AO310">_xlfn.IFS(S310&lt;5000,"Low",
S310&lt;=15000,"Medium",
TRUE,"High")</f>
        <v>Medium</v>
      </c>
    </row>
    <row r="311" spans="1:41" hidden="1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 t="str">
        <f t="shared" si="12"/>
        <v>Active</v>
      </c>
      <c r="AK311">
        <f t="shared" ca="1" si="13"/>
        <v>2019</v>
      </c>
      <c r="AL311">
        <f t="shared" si="14"/>
        <v>0</v>
      </c>
      <c r="AM311" t="e" cm="1">
        <f t="array" aca="1" ref="AM311" ca="1">IF(B311="Yes",YEAR(TODAY()),BLANK())</f>
        <v>#NAME?</v>
      </c>
      <c r="AN311" t="str" cm="1">
        <f t="array" ref="AN311" xml:space="preserve"> _xlfn.IFS(A311&lt;25,"&lt;25",
A311&lt;=35,"25-35",
A311&lt;=45,"36-45",
TRUE,"45+"
)</f>
        <v>25-35</v>
      </c>
      <c r="AO311" t="str" cm="1">
        <f t="array" ref="AO311">_xlfn.IFS(S311&lt;5000,"Low",
S311&lt;=15000,"Medium",
TRUE,"High")</f>
        <v>Low</v>
      </c>
    </row>
    <row r="312" spans="1:41" hidden="1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 t="str">
        <f t="shared" si="12"/>
        <v>Active</v>
      </c>
      <c r="AK312">
        <f t="shared" ca="1" si="13"/>
        <v>2016</v>
      </c>
      <c r="AL312">
        <f t="shared" si="14"/>
        <v>0</v>
      </c>
      <c r="AM312" t="e" cm="1">
        <f t="array" aca="1" ref="AM312" ca="1">IF(B312="Yes",YEAR(TODAY()),BLANK())</f>
        <v>#NAME?</v>
      </c>
      <c r="AN312" t="str" cm="1">
        <f t="array" ref="AN312" xml:space="preserve"> _xlfn.IFS(A312&lt;25,"&lt;25",
A312&lt;=35,"25-35",
A312&lt;=45,"36-45",
TRUE,"45+"
)</f>
        <v>25-35</v>
      </c>
      <c r="AO312" t="str" cm="1">
        <f t="array" ref="AO312">_xlfn.IFS(S312&lt;5000,"Low",
S312&lt;=15000,"Medium",
TRUE,"High")</f>
        <v>Medium</v>
      </c>
    </row>
    <row r="313" spans="1:41" hidden="1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 t="str">
        <f t="shared" si="12"/>
        <v>Active</v>
      </c>
      <c r="AK313">
        <f t="shared" ca="1" si="13"/>
        <v>2001</v>
      </c>
      <c r="AL313">
        <f t="shared" si="14"/>
        <v>0</v>
      </c>
      <c r="AM313" t="e" cm="1">
        <f t="array" aca="1" ref="AM313" ca="1">IF(B313="Yes",YEAR(TODAY()),BLANK())</f>
        <v>#NAME?</v>
      </c>
      <c r="AN313" t="str" cm="1">
        <f t="array" ref="AN313" xml:space="preserve"> _xlfn.IFS(A313&lt;25,"&lt;25",
A313&lt;=35,"25-35",
A313&lt;=45,"36-45",
TRUE,"45+"
)</f>
        <v>36-45</v>
      </c>
      <c r="AO313" t="str" cm="1">
        <f t="array" ref="AO313">_xlfn.IFS(S313&lt;5000,"Low",
S313&lt;=15000,"Medium",
TRUE,"High")</f>
        <v>Medium</v>
      </c>
    </row>
    <row r="314" spans="1:41" hidden="1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 t="str">
        <f t="shared" si="12"/>
        <v>Active</v>
      </c>
      <c r="AK314">
        <f t="shared" ca="1" si="13"/>
        <v>2022</v>
      </c>
      <c r="AL314">
        <f t="shared" si="14"/>
        <v>0</v>
      </c>
      <c r="AM314" t="e" cm="1">
        <f t="array" aca="1" ref="AM314" ca="1">IF(B314="Yes",YEAR(TODAY()),BLANK())</f>
        <v>#NAME?</v>
      </c>
      <c r="AN314" t="str" cm="1">
        <f t="array" ref="AN314" xml:space="preserve"> _xlfn.IFS(A314&lt;25,"&lt;25",
A314&lt;=35,"25-35",
A314&lt;=45,"36-45",
TRUE,"45+"
)</f>
        <v>25-35</v>
      </c>
      <c r="AO314" t="str" cm="1">
        <f t="array" ref="AO314">_xlfn.IFS(S314&lt;5000,"Low",
S314&lt;=15000,"Medium",
TRUE,"High")</f>
        <v>Low</v>
      </c>
    </row>
    <row r="315" spans="1:41" hidden="1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 t="str">
        <f t="shared" si="12"/>
        <v>Active</v>
      </c>
      <c r="AK315">
        <f t="shared" ca="1" si="13"/>
        <v>2013</v>
      </c>
      <c r="AL315">
        <f t="shared" si="14"/>
        <v>0</v>
      </c>
      <c r="AM315" t="e" cm="1">
        <f t="array" aca="1" ref="AM315" ca="1">IF(B315="Yes",YEAR(TODAY()),BLANK())</f>
        <v>#NAME?</v>
      </c>
      <c r="AN315" t="str" cm="1">
        <f t="array" ref="AN315" xml:space="preserve"> _xlfn.IFS(A315&lt;25,"&lt;25",
A315&lt;=35,"25-35",
A315&lt;=45,"36-45",
TRUE,"45+"
)</f>
        <v>25-35</v>
      </c>
      <c r="AO315" t="str" cm="1">
        <f t="array" ref="AO315">_xlfn.IFS(S315&lt;5000,"Low",
S315&lt;=15000,"Medium",
TRUE,"High")</f>
        <v>Medium</v>
      </c>
    </row>
    <row r="316" spans="1:41" hidden="1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 t="str">
        <f t="shared" si="12"/>
        <v>Active</v>
      </c>
      <c r="AK316">
        <f t="shared" ca="1" si="13"/>
        <v>2004</v>
      </c>
      <c r="AL316">
        <f t="shared" si="14"/>
        <v>0</v>
      </c>
      <c r="AM316" t="e" cm="1">
        <f t="array" aca="1" ref="AM316" ca="1">IF(B316="Yes",YEAR(TODAY()),BLANK())</f>
        <v>#NAME?</v>
      </c>
      <c r="AN316" t="str" cm="1">
        <f t="array" ref="AN316" xml:space="preserve"> _xlfn.IFS(A316&lt;25,"&lt;25",
A316&lt;=35,"25-35",
A316&lt;=45,"36-45",
TRUE,"45+"
)</f>
        <v>36-45</v>
      </c>
      <c r="AO316" t="str" cm="1">
        <f t="array" ref="AO316">_xlfn.IFS(S316&lt;5000,"Low",
S316&lt;=15000,"Medium",
TRUE,"High")</f>
        <v>High</v>
      </c>
    </row>
    <row r="317" spans="1:41" hidden="1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 t="str">
        <f t="shared" si="12"/>
        <v>Active</v>
      </c>
      <c r="AK317">
        <f t="shared" ca="1" si="13"/>
        <v>2016</v>
      </c>
      <c r="AL317">
        <f t="shared" si="14"/>
        <v>0</v>
      </c>
      <c r="AM317" t="e" cm="1">
        <f t="array" aca="1" ref="AM317" ca="1">IF(B317="Yes",YEAR(TODAY()),BLANK())</f>
        <v>#NAME?</v>
      </c>
      <c r="AN317" t="str" cm="1">
        <f t="array" ref="AN317" xml:space="preserve"> _xlfn.IFS(A317&lt;25,"&lt;25",
A317&lt;=35,"25-35",
A317&lt;=45,"36-45",
TRUE,"45+"
)</f>
        <v>36-45</v>
      </c>
      <c r="AO317" t="str" cm="1">
        <f t="array" ref="AO317">_xlfn.IFS(S317&lt;5000,"Low",
S317&lt;=15000,"Medium",
TRUE,"High")</f>
        <v>Low</v>
      </c>
    </row>
    <row r="318" spans="1:41" hidden="1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 t="str">
        <f t="shared" si="12"/>
        <v>Active</v>
      </c>
      <c r="AK318">
        <f t="shared" ca="1" si="13"/>
        <v>2000</v>
      </c>
      <c r="AL318">
        <f t="shared" si="14"/>
        <v>0</v>
      </c>
      <c r="AM318" t="e" cm="1">
        <f t="array" aca="1" ref="AM318" ca="1">IF(B318="Yes",YEAR(TODAY()),BLANK())</f>
        <v>#NAME?</v>
      </c>
      <c r="AN318" t="str" cm="1">
        <f t="array" ref="AN318" xml:space="preserve"> _xlfn.IFS(A318&lt;25,"&lt;25",
A318&lt;=35,"25-35",
A318&lt;=45,"36-45",
TRUE,"45+"
)</f>
        <v>45+</v>
      </c>
      <c r="AO318" t="str" cm="1">
        <f t="array" ref="AO318">_xlfn.IFS(S318&lt;5000,"Low",
S318&lt;=15000,"Medium",
TRUE,"High")</f>
        <v>Medium</v>
      </c>
    </row>
    <row r="319" spans="1:41" hidden="1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 t="str">
        <f t="shared" si="12"/>
        <v>Resigned</v>
      </c>
      <c r="AK319">
        <f t="shared" ca="1" si="13"/>
        <v>2014</v>
      </c>
      <c r="AL319">
        <f t="shared" si="14"/>
        <v>1</v>
      </c>
      <c r="AM319" cm="1">
        <f t="array" aca="1" ref="AM319" ca="1">IF(B319="Yes",YEAR(TODAY()),BLANK())</f>
        <v>2025</v>
      </c>
      <c r="AN319" t="str" cm="1">
        <f t="array" ref="AN319" xml:space="preserve"> _xlfn.IFS(A319&lt;25,"&lt;25",
A319&lt;=35,"25-35",
A319&lt;=45,"36-45",
TRUE,"45+"
)</f>
        <v>45+</v>
      </c>
      <c r="AO319" t="str" cm="1">
        <f t="array" ref="AO319">_xlfn.IFS(S319&lt;5000,"Low",
S319&lt;=15000,"Medium",
TRUE,"High")</f>
        <v>Low</v>
      </c>
    </row>
    <row r="320" spans="1:41" hidden="1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 t="str">
        <f t="shared" si="12"/>
        <v>Active</v>
      </c>
      <c r="AK320">
        <f t="shared" ca="1" si="13"/>
        <v>2021</v>
      </c>
      <c r="AL320">
        <f t="shared" si="14"/>
        <v>0</v>
      </c>
      <c r="AM320" t="e" cm="1">
        <f t="array" aca="1" ref="AM320" ca="1">IF(B320="Yes",YEAR(TODAY()),BLANK())</f>
        <v>#NAME?</v>
      </c>
      <c r="AN320" t="str" cm="1">
        <f t="array" ref="AN320" xml:space="preserve"> _xlfn.IFS(A320&lt;25,"&lt;25",
A320&lt;=35,"25-35",
A320&lt;=45,"36-45",
TRUE,"45+"
)</f>
        <v>25-35</v>
      </c>
      <c r="AO320" t="str" cm="1">
        <f t="array" ref="AO320">_xlfn.IFS(S320&lt;5000,"Low",
S320&lt;=15000,"Medium",
TRUE,"High")</f>
        <v>Low</v>
      </c>
    </row>
    <row r="321" spans="1:41" hidden="1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 t="str">
        <f t="shared" si="12"/>
        <v>Active</v>
      </c>
      <c r="AK321">
        <f t="shared" ca="1" si="13"/>
        <v>2012</v>
      </c>
      <c r="AL321">
        <f t="shared" si="14"/>
        <v>0</v>
      </c>
      <c r="AM321" t="e" cm="1">
        <f t="array" aca="1" ref="AM321" ca="1">IF(B321="Yes",YEAR(TODAY()),BLANK())</f>
        <v>#NAME?</v>
      </c>
      <c r="AN321" t="str" cm="1">
        <f t="array" ref="AN321" xml:space="preserve"> _xlfn.IFS(A321&lt;25,"&lt;25",
A321&lt;=35,"25-35",
A321&lt;=45,"36-45",
TRUE,"45+"
)</f>
        <v>25-35</v>
      </c>
      <c r="AO321" t="str" cm="1">
        <f t="array" ref="AO321">_xlfn.IFS(S321&lt;5000,"Low",
S321&lt;=15000,"Medium",
TRUE,"High")</f>
        <v>Medium</v>
      </c>
    </row>
    <row r="322" spans="1:41" hidden="1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 t="str">
        <f t="shared" si="12"/>
        <v>Active</v>
      </c>
      <c r="AK322">
        <f t="shared" ca="1" si="13"/>
        <v>2020</v>
      </c>
      <c r="AL322">
        <f t="shared" si="14"/>
        <v>0</v>
      </c>
      <c r="AM322" t="e" cm="1">
        <f t="array" aca="1" ref="AM322" ca="1">IF(B322="Yes",YEAR(TODAY()),BLANK())</f>
        <v>#NAME?</v>
      </c>
      <c r="AN322" t="str" cm="1">
        <f t="array" ref="AN322" xml:space="preserve"> _xlfn.IFS(A322&lt;25,"&lt;25",
A322&lt;=35,"25-35",
A322&lt;=45,"36-45",
TRUE,"45+"
)</f>
        <v>25-35</v>
      </c>
      <c r="AO322" t="str" cm="1">
        <f t="array" ref="AO322">_xlfn.IFS(S322&lt;5000,"Low",
S322&lt;=15000,"Medium",
TRUE,"High")</f>
        <v>Low</v>
      </c>
    </row>
    <row r="323" spans="1:41" hidden="1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 t="str">
        <f t="shared" ref="AJ323:AJ386" si="15">IF(B323="Yes", "Resigned","Active")</f>
        <v>Active</v>
      </c>
      <c r="AK323">
        <f t="shared" ref="AK323:AK386" ca="1" si="16">YEAR(TODAY()) - AC323</f>
        <v>2012</v>
      </c>
      <c r="AL323">
        <f t="shared" ref="AL323:AL386" si="17">IF(B323="Yes",1,0)</f>
        <v>0</v>
      </c>
      <c r="AM323" t="e" cm="1">
        <f t="array" aca="1" ref="AM323" ca="1">IF(B323="Yes",YEAR(TODAY()),BLANK())</f>
        <v>#NAME?</v>
      </c>
      <c r="AN323" t="str" cm="1">
        <f t="array" ref="AN323" xml:space="preserve"> _xlfn.IFS(A323&lt;25,"&lt;25",
A323&lt;=35,"25-35",
A323&lt;=45,"36-45",
TRUE,"45+"
)</f>
        <v>25-35</v>
      </c>
      <c r="AO323" t="str" cm="1">
        <f t="array" ref="AO323">_xlfn.IFS(S323&lt;5000,"Low",
S323&lt;=15000,"Medium",
TRUE,"High")</f>
        <v>Medium</v>
      </c>
    </row>
    <row r="324" spans="1:41" hidden="1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 t="str">
        <f t="shared" si="15"/>
        <v>Active</v>
      </c>
      <c r="AK324">
        <f t="shared" ca="1" si="16"/>
        <v>2015</v>
      </c>
      <c r="AL324">
        <f t="shared" si="17"/>
        <v>0</v>
      </c>
      <c r="AM324" t="e" cm="1">
        <f t="array" aca="1" ref="AM324" ca="1">IF(B324="Yes",YEAR(TODAY()),BLANK())</f>
        <v>#NAME?</v>
      </c>
      <c r="AN324" t="str" cm="1">
        <f t="array" ref="AN324" xml:space="preserve"> _xlfn.IFS(A324&lt;25,"&lt;25",
A324&lt;=35,"25-35",
A324&lt;=45,"36-45",
TRUE,"45+"
)</f>
        <v>25-35</v>
      </c>
      <c r="AO324" t="str" cm="1">
        <f t="array" ref="AO324">_xlfn.IFS(S324&lt;5000,"Low",
S324&lt;=15000,"Medium",
TRUE,"High")</f>
        <v>Medium</v>
      </c>
    </row>
    <row r="325" spans="1:41" hidden="1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 t="str">
        <f t="shared" si="15"/>
        <v>Resigned</v>
      </c>
      <c r="AK325">
        <f t="shared" ca="1" si="16"/>
        <v>2020</v>
      </c>
      <c r="AL325">
        <f t="shared" si="17"/>
        <v>1</v>
      </c>
      <c r="AM325" cm="1">
        <f t="array" aca="1" ref="AM325" ca="1">IF(B325="Yes",YEAR(TODAY()),BLANK())</f>
        <v>2025</v>
      </c>
      <c r="AN325" t="str" cm="1">
        <f t="array" ref="AN325" xml:space="preserve"> _xlfn.IFS(A325&lt;25,"&lt;25",
A325&lt;=35,"25-35",
A325&lt;=45,"36-45",
TRUE,"45+"
)</f>
        <v>25-35</v>
      </c>
      <c r="AO325" t="str" cm="1">
        <f t="array" ref="AO325">_xlfn.IFS(S325&lt;5000,"Low",
S325&lt;=15000,"Medium",
TRUE,"High")</f>
        <v>Low</v>
      </c>
    </row>
    <row r="326" spans="1:41" hidden="1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 t="str">
        <f t="shared" si="15"/>
        <v>Active</v>
      </c>
      <c r="AK326">
        <f t="shared" ca="1" si="16"/>
        <v>2014</v>
      </c>
      <c r="AL326">
        <f t="shared" si="17"/>
        <v>0</v>
      </c>
      <c r="AM326" t="e" cm="1">
        <f t="array" aca="1" ref="AM326" ca="1">IF(B326="Yes",YEAR(TODAY()),BLANK())</f>
        <v>#NAME?</v>
      </c>
      <c r="AN326" t="str" cm="1">
        <f t="array" ref="AN326" xml:space="preserve"> _xlfn.IFS(A326&lt;25,"&lt;25",
A326&lt;=35,"25-35",
A326&lt;=45,"36-45",
TRUE,"45+"
)</f>
        <v>25-35</v>
      </c>
      <c r="AO326" t="str" cm="1">
        <f t="array" ref="AO326">_xlfn.IFS(S326&lt;5000,"Low",
S326&lt;=15000,"Medium",
TRUE,"High")</f>
        <v>Medium</v>
      </c>
    </row>
    <row r="327" spans="1:41" hidden="1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 t="str">
        <f t="shared" si="15"/>
        <v>Active</v>
      </c>
      <c r="AK327">
        <f t="shared" ca="1" si="16"/>
        <v>2015</v>
      </c>
      <c r="AL327">
        <f t="shared" si="17"/>
        <v>0</v>
      </c>
      <c r="AM327" t="e" cm="1">
        <f t="array" aca="1" ref="AM327" ca="1">IF(B327="Yes",YEAR(TODAY()),BLANK())</f>
        <v>#NAME?</v>
      </c>
      <c r="AN327" t="str" cm="1">
        <f t="array" ref="AN327" xml:space="preserve"> _xlfn.IFS(A327&lt;25,"&lt;25",
A327&lt;=35,"25-35",
A327&lt;=45,"36-45",
TRUE,"45+"
)</f>
        <v>25-35</v>
      </c>
      <c r="AO327" t="str" cm="1">
        <f t="array" ref="AO327">_xlfn.IFS(S327&lt;5000,"Low",
S327&lt;=15000,"Medium",
TRUE,"High")</f>
        <v>Medium</v>
      </c>
    </row>
    <row r="328" spans="1:41" hidden="1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 t="str">
        <f t="shared" si="15"/>
        <v>Active</v>
      </c>
      <c r="AK328">
        <f t="shared" ca="1" si="16"/>
        <v>2004</v>
      </c>
      <c r="AL328">
        <f t="shared" si="17"/>
        <v>0</v>
      </c>
      <c r="AM328" t="e" cm="1">
        <f t="array" aca="1" ref="AM328" ca="1">IF(B328="Yes",YEAR(TODAY()),BLANK())</f>
        <v>#NAME?</v>
      </c>
      <c r="AN328" t="str" cm="1">
        <f t="array" ref="AN328" xml:space="preserve"> _xlfn.IFS(A328&lt;25,"&lt;25",
A328&lt;=35,"25-35",
A328&lt;=45,"36-45",
TRUE,"45+"
)</f>
        <v>36-45</v>
      </c>
      <c r="AO328" t="str" cm="1">
        <f t="array" ref="AO328">_xlfn.IFS(S328&lt;5000,"Low",
S328&lt;=15000,"Medium",
TRUE,"High")</f>
        <v>High</v>
      </c>
    </row>
    <row r="329" spans="1:41" hidden="1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 t="str">
        <f t="shared" si="15"/>
        <v>Resigned</v>
      </c>
      <c r="AK329">
        <f t="shared" ca="1" si="16"/>
        <v>2013</v>
      </c>
      <c r="AL329">
        <f t="shared" si="17"/>
        <v>1</v>
      </c>
      <c r="AM329" cm="1">
        <f t="array" aca="1" ref="AM329" ca="1">IF(B329="Yes",YEAR(TODAY()),BLANK())</f>
        <v>2025</v>
      </c>
      <c r="AN329" t="str" cm="1">
        <f t="array" ref="AN329" xml:space="preserve"> _xlfn.IFS(A329&lt;25,"&lt;25",
A329&lt;=35,"25-35",
A329&lt;=45,"36-45",
TRUE,"45+"
)</f>
        <v>36-45</v>
      </c>
      <c r="AO329" t="str" cm="1">
        <f t="array" ref="AO329">_xlfn.IFS(S329&lt;5000,"Low",
S329&lt;=15000,"Medium",
TRUE,"High")</f>
        <v>Medium</v>
      </c>
    </row>
    <row r="330" spans="1:41" hidden="1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 t="str">
        <f t="shared" si="15"/>
        <v>Active</v>
      </c>
      <c r="AK330">
        <f t="shared" ca="1" si="16"/>
        <v>2016</v>
      </c>
      <c r="AL330">
        <f t="shared" si="17"/>
        <v>0</v>
      </c>
      <c r="AM330" t="e" cm="1">
        <f t="array" aca="1" ref="AM330" ca="1">IF(B330="Yes",YEAR(TODAY()),BLANK())</f>
        <v>#NAME?</v>
      </c>
      <c r="AN330" t="str" cm="1">
        <f t="array" ref="AN330" xml:space="preserve"> _xlfn.IFS(A330&lt;25,"&lt;25",
A330&lt;=35,"25-35",
A330&lt;=45,"36-45",
TRUE,"45+"
)</f>
        <v>25-35</v>
      </c>
      <c r="AO330" t="str" cm="1">
        <f t="array" ref="AO330">_xlfn.IFS(S330&lt;5000,"Low",
S330&lt;=15000,"Medium",
TRUE,"High")</f>
        <v>Low</v>
      </c>
    </row>
    <row r="331" spans="1:41" hidden="1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 t="str">
        <f t="shared" si="15"/>
        <v>Active</v>
      </c>
      <c r="AK331">
        <f t="shared" ca="1" si="16"/>
        <v>2004</v>
      </c>
      <c r="AL331">
        <f t="shared" si="17"/>
        <v>0</v>
      </c>
      <c r="AM331" t="e" cm="1">
        <f t="array" aca="1" ref="AM331" ca="1">IF(B331="Yes",YEAR(TODAY()),BLANK())</f>
        <v>#NAME?</v>
      </c>
      <c r="AN331" t="str" cm="1">
        <f t="array" ref="AN331" xml:space="preserve"> _xlfn.IFS(A331&lt;25,"&lt;25",
A331&lt;=35,"25-35",
A331&lt;=45,"36-45",
TRUE,"45+"
)</f>
        <v>45+</v>
      </c>
      <c r="AO331" t="str" cm="1">
        <f t="array" ref="AO331">_xlfn.IFS(S331&lt;5000,"Low",
S331&lt;=15000,"Medium",
TRUE,"High")</f>
        <v>High</v>
      </c>
    </row>
    <row r="332" spans="1:41" hidden="1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 t="str">
        <f t="shared" si="15"/>
        <v>Active</v>
      </c>
      <c r="AK332">
        <f t="shared" ca="1" si="16"/>
        <v>2016</v>
      </c>
      <c r="AL332">
        <f t="shared" si="17"/>
        <v>0</v>
      </c>
      <c r="AM332" t="e" cm="1">
        <f t="array" aca="1" ref="AM332" ca="1">IF(B332="Yes",YEAR(TODAY()),BLANK())</f>
        <v>#NAME?</v>
      </c>
      <c r="AN332" t="str" cm="1">
        <f t="array" ref="AN332" xml:space="preserve"> _xlfn.IFS(A332&lt;25,"&lt;25",
A332&lt;=35,"25-35",
A332&lt;=45,"36-45",
TRUE,"45+"
)</f>
        <v>36-45</v>
      </c>
      <c r="AO332" t="str" cm="1">
        <f t="array" ref="AO332">_xlfn.IFS(S332&lt;5000,"Low",
S332&lt;=15000,"Medium",
TRUE,"High")</f>
        <v>Medium</v>
      </c>
    </row>
    <row r="333" spans="1:41" hidden="1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 t="str">
        <f t="shared" si="15"/>
        <v>Active</v>
      </c>
      <c r="AK333">
        <f t="shared" ca="1" si="16"/>
        <v>2019</v>
      </c>
      <c r="AL333">
        <f t="shared" si="17"/>
        <v>0</v>
      </c>
      <c r="AM333" t="e" cm="1">
        <f t="array" aca="1" ref="AM333" ca="1">IF(B333="Yes",YEAR(TODAY()),BLANK())</f>
        <v>#NAME?</v>
      </c>
      <c r="AN333" t="str" cm="1">
        <f t="array" ref="AN333" xml:space="preserve"> _xlfn.IFS(A333&lt;25,"&lt;25",
A333&lt;=35,"25-35",
A333&lt;=45,"36-45",
TRUE,"45+"
)</f>
        <v>25-35</v>
      </c>
      <c r="AO333" t="str" cm="1">
        <f t="array" ref="AO333">_xlfn.IFS(S333&lt;5000,"Low",
S333&lt;=15000,"Medium",
TRUE,"High")</f>
        <v>Medium</v>
      </c>
    </row>
    <row r="334" spans="1:41" hidden="1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 t="str">
        <f t="shared" si="15"/>
        <v>Active</v>
      </c>
      <c r="AK334">
        <f t="shared" ca="1" si="16"/>
        <v>2005</v>
      </c>
      <c r="AL334">
        <f t="shared" si="17"/>
        <v>0</v>
      </c>
      <c r="AM334" t="e" cm="1">
        <f t="array" aca="1" ref="AM334" ca="1">IF(B334="Yes",YEAR(TODAY()),BLANK())</f>
        <v>#NAME?</v>
      </c>
      <c r="AN334" t="str" cm="1">
        <f t="array" ref="AN334" xml:space="preserve"> _xlfn.IFS(A334&lt;25,"&lt;25",
A334&lt;=35,"25-35",
A334&lt;=45,"36-45",
TRUE,"45+"
)</f>
        <v>45+</v>
      </c>
      <c r="AO334" t="str" cm="1">
        <f t="array" ref="AO334">_xlfn.IFS(S334&lt;5000,"Low",
S334&lt;=15000,"Medium",
TRUE,"High")</f>
        <v>Low</v>
      </c>
    </row>
    <row r="335" spans="1:41" hidden="1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 t="str">
        <f t="shared" si="15"/>
        <v>Active</v>
      </c>
      <c r="AK335">
        <f t="shared" ca="1" si="16"/>
        <v>2015</v>
      </c>
      <c r="AL335">
        <f t="shared" si="17"/>
        <v>0</v>
      </c>
      <c r="AM335" t="e" cm="1">
        <f t="array" aca="1" ref="AM335" ca="1">IF(B335="Yes",YEAR(TODAY()),BLANK())</f>
        <v>#NAME?</v>
      </c>
      <c r="AN335" t="str" cm="1">
        <f t="array" ref="AN335" xml:space="preserve"> _xlfn.IFS(A335&lt;25,"&lt;25",
A335&lt;=35,"25-35",
A335&lt;=45,"36-45",
TRUE,"45+"
)</f>
        <v>36-45</v>
      </c>
      <c r="AO335" t="str" cm="1">
        <f t="array" ref="AO335">_xlfn.IFS(S335&lt;5000,"Low",
S335&lt;=15000,"Medium",
TRUE,"High")</f>
        <v>Medium</v>
      </c>
    </row>
    <row r="336" spans="1:41" hidden="1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 t="str">
        <f t="shared" si="15"/>
        <v>Active</v>
      </c>
      <c r="AK336">
        <f t="shared" ca="1" si="16"/>
        <v>2013</v>
      </c>
      <c r="AL336">
        <f t="shared" si="17"/>
        <v>0</v>
      </c>
      <c r="AM336" t="e" cm="1">
        <f t="array" aca="1" ref="AM336" ca="1">IF(B336="Yes",YEAR(TODAY()),BLANK())</f>
        <v>#NAME?</v>
      </c>
      <c r="AN336" t="str" cm="1">
        <f t="array" ref="AN336" xml:space="preserve"> _xlfn.IFS(A336&lt;25,"&lt;25",
A336&lt;=35,"25-35",
A336&lt;=45,"36-45",
TRUE,"45+"
)</f>
        <v>36-45</v>
      </c>
      <c r="AO336" t="str" cm="1">
        <f t="array" ref="AO336">_xlfn.IFS(S336&lt;5000,"Low",
S336&lt;=15000,"Medium",
TRUE,"High")</f>
        <v>Low</v>
      </c>
    </row>
    <row r="337" spans="1:41" hidden="1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 t="str">
        <f t="shared" si="15"/>
        <v>Active</v>
      </c>
      <c r="AK337">
        <f t="shared" ca="1" si="16"/>
        <v>2019</v>
      </c>
      <c r="AL337">
        <f t="shared" si="17"/>
        <v>0</v>
      </c>
      <c r="AM337" t="e" cm="1">
        <f t="array" aca="1" ref="AM337" ca="1">IF(B337="Yes",YEAR(TODAY()),BLANK())</f>
        <v>#NAME?</v>
      </c>
      <c r="AN337" t="str" cm="1">
        <f t="array" ref="AN337" xml:space="preserve"> _xlfn.IFS(A337&lt;25,"&lt;25",
A337&lt;=35,"25-35",
A337&lt;=45,"36-45",
TRUE,"45+"
)</f>
        <v>36-45</v>
      </c>
      <c r="AO337" t="str" cm="1">
        <f t="array" ref="AO337">_xlfn.IFS(S337&lt;5000,"Low",
S337&lt;=15000,"Medium",
TRUE,"High")</f>
        <v>Medium</v>
      </c>
    </row>
    <row r="338" spans="1:41" hidden="1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 t="str">
        <f t="shared" si="15"/>
        <v>Resigned</v>
      </c>
      <c r="AK338">
        <f t="shared" ca="1" si="16"/>
        <v>2018</v>
      </c>
      <c r="AL338">
        <f t="shared" si="17"/>
        <v>1</v>
      </c>
      <c r="AM338" cm="1">
        <f t="array" aca="1" ref="AM338" ca="1">IF(B338="Yes",YEAR(TODAY()),BLANK())</f>
        <v>2025</v>
      </c>
      <c r="AN338" t="str" cm="1">
        <f t="array" ref="AN338" xml:space="preserve"> _xlfn.IFS(A338&lt;25,"&lt;25",
A338&lt;=35,"25-35",
A338&lt;=45,"36-45",
TRUE,"45+"
)</f>
        <v>25-35</v>
      </c>
      <c r="AO338" t="str" cm="1">
        <f t="array" ref="AO338">_xlfn.IFS(S338&lt;5000,"Low",
S338&lt;=15000,"Medium",
TRUE,"High")</f>
        <v>Low</v>
      </c>
    </row>
    <row r="339" spans="1:41" hidden="1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 t="str">
        <f t="shared" si="15"/>
        <v>Active</v>
      </c>
      <c r="AK339">
        <f t="shared" ca="1" si="16"/>
        <v>2021</v>
      </c>
      <c r="AL339">
        <f t="shared" si="17"/>
        <v>0</v>
      </c>
      <c r="AM339" t="e" cm="1">
        <f t="array" aca="1" ref="AM339" ca="1">IF(B339="Yes",YEAR(TODAY()),BLANK())</f>
        <v>#NAME?</v>
      </c>
      <c r="AN339" t="str" cm="1">
        <f t="array" ref="AN339" xml:space="preserve"> _xlfn.IFS(A339&lt;25,"&lt;25",
A339&lt;=35,"25-35",
A339&lt;=45,"36-45",
TRUE,"45+"
)</f>
        <v>25-35</v>
      </c>
      <c r="AO339" t="str" cm="1">
        <f t="array" ref="AO339">_xlfn.IFS(S339&lt;5000,"Low",
S339&lt;=15000,"Medium",
TRUE,"High")</f>
        <v>Low</v>
      </c>
    </row>
    <row r="340" spans="1:41" hidden="1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 t="str">
        <f t="shared" si="15"/>
        <v>Active</v>
      </c>
      <c r="AK340">
        <f t="shared" ca="1" si="16"/>
        <v>2015</v>
      </c>
      <c r="AL340">
        <f t="shared" si="17"/>
        <v>0</v>
      </c>
      <c r="AM340" t="e" cm="1">
        <f t="array" aca="1" ref="AM340" ca="1">IF(B340="Yes",YEAR(TODAY()),BLANK())</f>
        <v>#NAME?</v>
      </c>
      <c r="AN340" t="str" cm="1">
        <f t="array" ref="AN340" xml:space="preserve"> _xlfn.IFS(A340&lt;25,"&lt;25",
A340&lt;=35,"25-35",
A340&lt;=45,"36-45",
TRUE,"45+"
)</f>
        <v>25-35</v>
      </c>
      <c r="AO340" t="str" cm="1">
        <f t="array" ref="AO340">_xlfn.IFS(S340&lt;5000,"Low",
S340&lt;=15000,"Medium",
TRUE,"High")</f>
        <v>Medium</v>
      </c>
    </row>
    <row r="341" spans="1:41" hidden="1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 t="str">
        <f t="shared" si="15"/>
        <v>Active</v>
      </c>
      <c r="AK341">
        <f t="shared" ca="1" si="16"/>
        <v>2017</v>
      </c>
      <c r="AL341">
        <f t="shared" si="17"/>
        <v>0</v>
      </c>
      <c r="AM341" t="e" cm="1">
        <f t="array" aca="1" ref="AM341" ca="1">IF(B341="Yes",YEAR(TODAY()),BLANK())</f>
        <v>#NAME?</v>
      </c>
      <c r="AN341" t="str" cm="1">
        <f t="array" ref="AN341" xml:space="preserve"> _xlfn.IFS(A341&lt;25,"&lt;25",
A341&lt;=35,"25-35",
A341&lt;=45,"36-45",
TRUE,"45+"
)</f>
        <v>25-35</v>
      </c>
      <c r="AO341" t="str" cm="1">
        <f t="array" ref="AO341">_xlfn.IFS(S341&lt;5000,"Low",
S341&lt;=15000,"Medium",
TRUE,"High")</f>
        <v>Medium</v>
      </c>
    </row>
    <row r="342" spans="1:41" hidden="1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 t="str">
        <f t="shared" si="15"/>
        <v>Active</v>
      </c>
      <c r="AK342">
        <f t="shared" ca="1" si="16"/>
        <v>2017</v>
      </c>
      <c r="AL342">
        <f t="shared" si="17"/>
        <v>0</v>
      </c>
      <c r="AM342" t="e" cm="1">
        <f t="array" aca="1" ref="AM342" ca="1">IF(B342="Yes",YEAR(TODAY()),BLANK())</f>
        <v>#NAME?</v>
      </c>
      <c r="AN342" t="str" cm="1">
        <f t="array" ref="AN342" xml:space="preserve"> _xlfn.IFS(A342&lt;25,"&lt;25",
A342&lt;=35,"25-35",
A342&lt;=45,"36-45",
TRUE,"45+"
)</f>
        <v>36-45</v>
      </c>
      <c r="AO342" t="str" cm="1">
        <f t="array" ref="AO342">_xlfn.IFS(S342&lt;5000,"Low",
S342&lt;=15000,"Medium",
TRUE,"High")</f>
        <v>Medium</v>
      </c>
    </row>
    <row r="343" spans="1:41" hidden="1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 t="str">
        <f t="shared" si="15"/>
        <v>Active</v>
      </c>
      <c r="AK343">
        <f t="shared" ca="1" si="16"/>
        <v>2013</v>
      </c>
      <c r="AL343">
        <f t="shared" si="17"/>
        <v>0</v>
      </c>
      <c r="AM343" t="e" cm="1">
        <f t="array" aca="1" ref="AM343" ca="1">IF(B343="Yes",YEAR(TODAY()),BLANK())</f>
        <v>#NAME?</v>
      </c>
      <c r="AN343" t="str" cm="1">
        <f t="array" ref="AN343" xml:space="preserve"> _xlfn.IFS(A343&lt;25,"&lt;25",
A343&lt;=35,"25-35",
A343&lt;=45,"36-45",
TRUE,"45+"
)</f>
        <v>36-45</v>
      </c>
      <c r="AO343" t="str" cm="1">
        <f t="array" ref="AO343">_xlfn.IFS(S343&lt;5000,"Low",
S343&lt;=15000,"Medium",
TRUE,"High")</f>
        <v>Medium</v>
      </c>
    </row>
    <row r="344" spans="1:41" hidden="1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 t="str">
        <f t="shared" si="15"/>
        <v>Active</v>
      </c>
      <c r="AK344">
        <f t="shared" ca="1" si="16"/>
        <v>2014</v>
      </c>
      <c r="AL344">
        <f t="shared" si="17"/>
        <v>0</v>
      </c>
      <c r="AM344" t="e" cm="1">
        <f t="array" aca="1" ref="AM344" ca="1">IF(B344="Yes",YEAR(TODAY()),BLANK())</f>
        <v>#NAME?</v>
      </c>
      <c r="AN344" t="str" cm="1">
        <f t="array" ref="AN344" xml:space="preserve"> _xlfn.IFS(A344&lt;25,"&lt;25",
A344&lt;=35,"25-35",
A344&lt;=45,"36-45",
TRUE,"45+"
)</f>
        <v>25-35</v>
      </c>
      <c r="AO344" t="str" cm="1">
        <f t="array" ref="AO344">_xlfn.IFS(S344&lt;5000,"Low",
S344&lt;=15000,"Medium",
TRUE,"High")</f>
        <v>Medium</v>
      </c>
    </row>
    <row r="345" spans="1:41" hidden="1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 t="str">
        <f t="shared" si="15"/>
        <v>Active</v>
      </c>
      <c r="AK345">
        <f t="shared" ca="1" si="16"/>
        <v>2018</v>
      </c>
      <c r="AL345">
        <f t="shared" si="17"/>
        <v>0</v>
      </c>
      <c r="AM345" t="e" cm="1">
        <f t="array" aca="1" ref="AM345" ca="1">IF(B345="Yes",YEAR(TODAY()),BLANK())</f>
        <v>#NAME?</v>
      </c>
      <c r="AN345" t="str" cm="1">
        <f t="array" ref="AN345" xml:space="preserve"> _xlfn.IFS(A345&lt;25,"&lt;25",
A345&lt;=35,"25-35",
A345&lt;=45,"36-45",
TRUE,"45+"
)</f>
        <v>25-35</v>
      </c>
      <c r="AO345" t="str" cm="1">
        <f t="array" ref="AO345">_xlfn.IFS(S345&lt;5000,"Low",
S345&lt;=15000,"Medium",
TRUE,"High")</f>
        <v>Medium</v>
      </c>
    </row>
    <row r="346" spans="1:41" hidden="1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 t="str">
        <f t="shared" si="15"/>
        <v>Active</v>
      </c>
      <c r="AK346">
        <f t="shared" ca="1" si="16"/>
        <v>2008</v>
      </c>
      <c r="AL346">
        <f t="shared" si="17"/>
        <v>0</v>
      </c>
      <c r="AM346" t="e" cm="1">
        <f t="array" aca="1" ref="AM346" ca="1">IF(B346="Yes",YEAR(TODAY()),BLANK())</f>
        <v>#NAME?</v>
      </c>
      <c r="AN346" t="str" cm="1">
        <f t="array" ref="AN346" xml:space="preserve"> _xlfn.IFS(A346&lt;25,"&lt;25",
A346&lt;=35,"25-35",
A346&lt;=45,"36-45",
TRUE,"45+"
)</f>
        <v>25-35</v>
      </c>
      <c r="AO346" t="str" cm="1">
        <f t="array" ref="AO346">_xlfn.IFS(S346&lt;5000,"Low",
S346&lt;=15000,"Medium",
TRUE,"High")</f>
        <v>Medium</v>
      </c>
    </row>
    <row r="347" spans="1:41" hidden="1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 t="str">
        <f t="shared" si="15"/>
        <v>Active</v>
      </c>
      <c r="AK347">
        <f t="shared" ca="1" si="16"/>
        <v>2021</v>
      </c>
      <c r="AL347">
        <f t="shared" si="17"/>
        <v>0</v>
      </c>
      <c r="AM347" t="e" cm="1">
        <f t="array" aca="1" ref="AM347" ca="1">IF(B347="Yes",YEAR(TODAY()),BLANK())</f>
        <v>#NAME?</v>
      </c>
      <c r="AN347" t="str" cm="1">
        <f t="array" ref="AN347" xml:space="preserve"> _xlfn.IFS(A347&lt;25,"&lt;25",
A347&lt;=35,"25-35",
A347&lt;=45,"36-45",
TRUE,"45+"
)</f>
        <v>&lt;25</v>
      </c>
      <c r="AO347" t="str" cm="1">
        <f t="array" ref="AO347">_xlfn.IFS(S347&lt;5000,"Low",
S347&lt;=15000,"Medium",
TRUE,"High")</f>
        <v>Low</v>
      </c>
    </row>
    <row r="348" spans="1:41" hidden="1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 t="str">
        <f t="shared" si="15"/>
        <v>Active</v>
      </c>
      <c r="AK348">
        <f t="shared" ca="1" si="16"/>
        <v>2017</v>
      </c>
      <c r="AL348">
        <f t="shared" si="17"/>
        <v>0</v>
      </c>
      <c r="AM348" t="e" cm="1">
        <f t="array" aca="1" ref="AM348" ca="1">IF(B348="Yes",YEAR(TODAY()),BLANK())</f>
        <v>#NAME?</v>
      </c>
      <c r="AN348" t="str" cm="1">
        <f t="array" ref="AN348" xml:space="preserve"> _xlfn.IFS(A348&lt;25,"&lt;25",
A348&lt;=35,"25-35",
A348&lt;=45,"36-45",
TRUE,"45+"
)</f>
        <v>36-45</v>
      </c>
      <c r="AO348" t="str" cm="1">
        <f t="array" ref="AO348">_xlfn.IFS(S348&lt;5000,"Low",
S348&lt;=15000,"Medium",
TRUE,"High")</f>
        <v>Medium</v>
      </c>
    </row>
    <row r="349" spans="1:41" hidden="1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 t="str">
        <f t="shared" si="15"/>
        <v>Active</v>
      </c>
      <c r="AK349">
        <f t="shared" ca="1" si="16"/>
        <v>2020</v>
      </c>
      <c r="AL349">
        <f t="shared" si="17"/>
        <v>0</v>
      </c>
      <c r="AM349" t="e" cm="1">
        <f t="array" aca="1" ref="AM349" ca="1">IF(B349="Yes",YEAR(TODAY()),BLANK())</f>
        <v>#NAME?</v>
      </c>
      <c r="AN349" t="str" cm="1">
        <f t="array" ref="AN349" xml:space="preserve"> _xlfn.IFS(A349&lt;25,"&lt;25",
A349&lt;=35,"25-35",
A349&lt;=45,"36-45",
TRUE,"45+"
)</f>
        <v>45+</v>
      </c>
      <c r="AO349" t="str" cm="1">
        <f t="array" ref="AO349">_xlfn.IFS(S349&lt;5000,"Low",
S349&lt;=15000,"Medium",
TRUE,"High")</f>
        <v>Low</v>
      </c>
    </row>
    <row r="350" spans="1:41" hidden="1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 t="str">
        <f t="shared" si="15"/>
        <v>Active</v>
      </c>
      <c r="AK350">
        <f t="shared" ca="1" si="16"/>
        <v>2009</v>
      </c>
      <c r="AL350">
        <f t="shared" si="17"/>
        <v>0</v>
      </c>
      <c r="AM350" t="e" cm="1">
        <f t="array" aca="1" ref="AM350" ca="1">IF(B350="Yes",YEAR(TODAY()),BLANK())</f>
        <v>#NAME?</v>
      </c>
      <c r="AN350" t="str" cm="1">
        <f t="array" ref="AN350" xml:space="preserve"> _xlfn.IFS(A350&lt;25,"&lt;25",
A350&lt;=35,"25-35",
A350&lt;=45,"36-45",
TRUE,"45+"
)</f>
        <v>36-45</v>
      </c>
      <c r="AO350" t="str" cm="1">
        <f t="array" ref="AO350">_xlfn.IFS(S350&lt;5000,"Low",
S350&lt;=15000,"Medium",
TRUE,"High")</f>
        <v>High</v>
      </c>
    </row>
    <row r="351" spans="1:41" hidden="1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 t="str">
        <f t="shared" si="15"/>
        <v>Active</v>
      </c>
      <c r="AK351">
        <f t="shared" ca="1" si="16"/>
        <v>2021</v>
      </c>
      <c r="AL351">
        <f t="shared" si="17"/>
        <v>0</v>
      </c>
      <c r="AM351" t="e" cm="1">
        <f t="array" aca="1" ref="AM351" ca="1">IF(B351="Yes",YEAR(TODAY()),BLANK())</f>
        <v>#NAME?</v>
      </c>
      <c r="AN351" t="str" cm="1">
        <f t="array" ref="AN351" xml:space="preserve"> _xlfn.IFS(A351&lt;25,"&lt;25",
A351&lt;=35,"25-35",
A351&lt;=45,"36-45",
TRUE,"45+"
)</f>
        <v>25-35</v>
      </c>
      <c r="AO351" t="str" cm="1">
        <f t="array" ref="AO351">_xlfn.IFS(S351&lt;5000,"Low",
S351&lt;=15000,"Medium",
TRUE,"High")</f>
        <v>Low</v>
      </c>
    </row>
    <row r="352" spans="1:41" hidden="1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 t="str">
        <f t="shared" si="15"/>
        <v>Active</v>
      </c>
      <c r="AK352">
        <f t="shared" ca="1" si="16"/>
        <v>2021</v>
      </c>
      <c r="AL352">
        <f t="shared" si="17"/>
        <v>0</v>
      </c>
      <c r="AM352" t="e" cm="1">
        <f t="array" aca="1" ref="AM352" ca="1">IF(B352="Yes",YEAR(TODAY()),BLANK())</f>
        <v>#NAME?</v>
      </c>
      <c r="AN352" t="str" cm="1">
        <f t="array" ref="AN352" xml:space="preserve"> _xlfn.IFS(A352&lt;25,"&lt;25",
A352&lt;=35,"25-35",
A352&lt;=45,"36-45",
TRUE,"45+"
)</f>
        <v>36-45</v>
      </c>
      <c r="AO352" t="str" cm="1">
        <f t="array" ref="AO352">_xlfn.IFS(S352&lt;5000,"Low",
S352&lt;=15000,"Medium",
TRUE,"High")</f>
        <v>Low</v>
      </c>
    </row>
    <row r="353" spans="1:41" hidden="1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 t="str">
        <f t="shared" si="15"/>
        <v>Active</v>
      </c>
      <c r="AK353">
        <f t="shared" ca="1" si="16"/>
        <v>2017</v>
      </c>
      <c r="AL353">
        <f t="shared" si="17"/>
        <v>0</v>
      </c>
      <c r="AM353" t="e" cm="1">
        <f t="array" aca="1" ref="AM353" ca="1">IF(B353="Yes",YEAR(TODAY()),BLANK())</f>
        <v>#NAME?</v>
      </c>
      <c r="AN353" t="str" cm="1">
        <f t="array" ref="AN353" xml:space="preserve"> _xlfn.IFS(A353&lt;25,"&lt;25",
A353&lt;=35,"25-35",
A353&lt;=45,"36-45",
TRUE,"45+"
)</f>
        <v>25-35</v>
      </c>
      <c r="AO353" t="str" cm="1">
        <f t="array" ref="AO353">_xlfn.IFS(S353&lt;5000,"Low",
S353&lt;=15000,"Medium",
TRUE,"High")</f>
        <v>Low</v>
      </c>
    </row>
    <row r="354" spans="1:41" hidden="1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 t="str">
        <f t="shared" si="15"/>
        <v>Active</v>
      </c>
      <c r="AK354">
        <f t="shared" ca="1" si="16"/>
        <v>2010</v>
      </c>
      <c r="AL354">
        <f t="shared" si="17"/>
        <v>0</v>
      </c>
      <c r="AM354" t="e" cm="1">
        <f t="array" aca="1" ref="AM354" ca="1">IF(B354="Yes",YEAR(TODAY()),BLANK())</f>
        <v>#NAME?</v>
      </c>
      <c r="AN354" t="str" cm="1">
        <f t="array" ref="AN354" xml:space="preserve"> _xlfn.IFS(A354&lt;25,"&lt;25",
A354&lt;=35,"25-35",
A354&lt;=45,"36-45",
TRUE,"45+"
)</f>
        <v>45+</v>
      </c>
      <c r="AO354" t="str" cm="1">
        <f t="array" ref="AO354">_xlfn.IFS(S354&lt;5000,"Low",
S354&lt;=15000,"Medium",
TRUE,"High")</f>
        <v>Medium</v>
      </c>
    </row>
    <row r="355" spans="1:41" hidden="1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 t="str">
        <f t="shared" si="15"/>
        <v>Active</v>
      </c>
      <c r="AK355">
        <f t="shared" ca="1" si="16"/>
        <v>2012</v>
      </c>
      <c r="AL355">
        <f t="shared" si="17"/>
        <v>0</v>
      </c>
      <c r="AM355" t="e" cm="1">
        <f t="array" aca="1" ref="AM355" ca="1">IF(B355="Yes",YEAR(TODAY()),BLANK())</f>
        <v>#NAME?</v>
      </c>
      <c r="AN355" t="str" cm="1">
        <f t="array" ref="AN355" xml:space="preserve"> _xlfn.IFS(A355&lt;25,"&lt;25",
A355&lt;=35,"25-35",
A355&lt;=45,"36-45",
TRUE,"45+"
)</f>
        <v>36-45</v>
      </c>
      <c r="AO355" t="str" cm="1">
        <f t="array" ref="AO355">_xlfn.IFS(S355&lt;5000,"Low",
S355&lt;=15000,"Medium",
TRUE,"High")</f>
        <v>Medium</v>
      </c>
    </row>
    <row r="356" spans="1:41" hidden="1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 t="str">
        <f t="shared" si="15"/>
        <v>Active</v>
      </c>
      <c r="AK356">
        <f t="shared" ca="1" si="16"/>
        <v>2021</v>
      </c>
      <c r="AL356">
        <f t="shared" si="17"/>
        <v>0</v>
      </c>
      <c r="AM356" t="e" cm="1">
        <f t="array" aca="1" ref="AM356" ca="1">IF(B356="Yes",YEAR(TODAY()),BLANK())</f>
        <v>#NAME?</v>
      </c>
      <c r="AN356" t="str" cm="1">
        <f t="array" ref="AN356" xml:space="preserve"> _xlfn.IFS(A356&lt;25,"&lt;25",
A356&lt;=35,"25-35",
A356&lt;=45,"36-45",
TRUE,"45+"
)</f>
        <v>25-35</v>
      </c>
      <c r="AO356" t="str" cm="1">
        <f t="array" ref="AO356">_xlfn.IFS(S356&lt;5000,"Low",
S356&lt;=15000,"Medium",
TRUE,"High")</f>
        <v>Low</v>
      </c>
    </row>
    <row r="357" spans="1:41" hidden="1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 t="str">
        <f t="shared" si="15"/>
        <v>Active</v>
      </c>
      <c r="AK357">
        <f t="shared" ca="1" si="16"/>
        <v>2017</v>
      </c>
      <c r="AL357">
        <f t="shared" si="17"/>
        <v>0</v>
      </c>
      <c r="AM357" t="e" cm="1">
        <f t="array" aca="1" ref="AM357" ca="1">IF(B357="Yes",YEAR(TODAY()),BLANK())</f>
        <v>#NAME?</v>
      </c>
      <c r="AN357" t="str" cm="1">
        <f t="array" ref="AN357" xml:space="preserve"> _xlfn.IFS(A357&lt;25,"&lt;25",
A357&lt;=35,"25-35",
A357&lt;=45,"36-45",
TRUE,"45+"
)</f>
        <v>25-35</v>
      </c>
      <c r="AO357" t="str" cm="1">
        <f t="array" ref="AO357">_xlfn.IFS(S357&lt;5000,"Low",
S357&lt;=15000,"Medium",
TRUE,"High")</f>
        <v>Medium</v>
      </c>
    </row>
    <row r="358" spans="1:41" hidden="1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 t="str">
        <f t="shared" si="15"/>
        <v>Active</v>
      </c>
      <c r="AK358">
        <f t="shared" ca="1" si="16"/>
        <v>2011</v>
      </c>
      <c r="AL358">
        <f t="shared" si="17"/>
        <v>0</v>
      </c>
      <c r="AM358" t="e" cm="1">
        <f t="array" aca="1" ref="AM358" ca="1">IF(B358="Yes",YEAR(TODAY()),BLANK())</f>
        <v>#NAME?</v>
      </c>
      <c r="AN358" t="str" cm="1">
        <f t="array" ref="AN358" xml:space="preserve"> _xlfn.IFS(A358&lt;25,"&lt;25",
A358&lt;=35,"25-35",
A358&lt;=45,"36-45",
TRUE,"45+"
)</f>
        <v>36-45</v>
      </c>
      <c r="AO358" t="str" cm="1">
        <f t="array" ref="AO358">_xlfn.IFS(S358&lt;5000,"Low",
S358&lt;=15000,"Medium",
TRUE,"High")</f>
        <v>Medium</v>
      </c>
    </row>
    <row r="359" spans="1:41" hidden="1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 t="str">
        <f t="shared" si="15"/>
        <v>Resigned</v>
      </c>
      <c r="AK359">
        <f t="shared" ca="1" si="16"/>
        <v>2022</v>
      </c>
      <c r="AL359">
        <f t="shared" si="17"/>
        <v>1</v>
      </c>
      <c r="AM359" cm="1">
        <f t="array" aca="1" ref="AM359" ca="1">IF(B359="Yes",YEAR(TODAY()),BLANK())</f>
        <v>2025</v>
      </c>
      <c r="AN359" t="str" cm="1">
        <f t="array" ref="AN359" xml:space="preserve"> _xlfn.IFS(A359&lt;25,"&lt;25",
A359&lt;=35,"25-35",
A359&lt;=45,"36-45",
TRUE,"45+"
)</f>
        <v>&lt;25</v>
      </c>
      <c r="AO359" t="str" cm="1">
        <f t="array" ref="AO359">_xlfn.IFS(S359&lt;5000,"Low",
S359&lt;=15000,"Medium",
TRUE,"High")</f>
        <v>Low</v>
      </c>
    </row>
    <row r="360" spans="1:41" hidden="1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 t="str">
        <f t="shared" si="15"/>
        <v>Active</v>
      </c>
      <c r="AK360">
        <f t="shared" ca="1" si="16"/>
        <v>2018</v>
      </c>
      <c r="AL360">
        <f t="shared" si="17"/>
        <v>0</v>
      </c>
      <c r="AM360" t="e" cm="1">
        <f t="array" aca="1" ref="AM360" ca="1">IF(B360="Yes",YEAR(TODAY()),BLANK())</f>
        <v>#NAME?</v>
      </c>
      <c r="AN360" t="str" cm="1">
        <f t="array" ref="AN360" xml:space="preserve"> _xlfn.IFS(A360&lt;25,"&lt;25",
A360&lt;=35,"25-35",
A360&lt;=45,"36-45",
TRUE,"45+"
)</f>
        <v>36-45</v>
      </c>
      <c r="AO360" t="str" cm="1">
        <f t="array" ref="AO360">_xlfn.IFS(S360&lt;5000,"Low",
S360&lt;=15000,"Medium",
TRUE,"High")</f>
        <v>Medium</v>
      </c>
    </row>
    <row r="361" spans="1:41" hidden="1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 t="str">
        <f t="shared" si="15"/>
        <v>Active</v>
      </c>
      <c r="AK361">
        <f t="shared" ca="1" si="16"/>
        <v>2009</v>
      </c>
      <c r="AL361">
        <f t="shared" si="17"/>
        <v>0</v>
      </c>
      <c r="AM361" t="e" cm="1">
        <f t="array" aca="1" ref="AM361" ca="1">IF(B361="Yes",YEAR(TODAY()),BLANK())</f>
        <v>#NAME?</v>
      </c>
      <c r="AN361" t="str" cm="1">
        <f t="array" ref="AN361" xml:space="preserve"> _xlfn.IFS(A361&lt;25,"&lt;25",
A361&lt;=35,"25-35",
A361&lt;=45,"36-45",
TRUE,"45+"
)</f>
        <v>36-45</v>
      </c>
      <c r="AO361" t="str" cm="1">
        <f t="array" ref="AO361">_xlfn.IFS(S361&lt;5000,"Low",
S361&lt;=15000,"Medium",
TRUE,"High")</f>
        <v>Medium</v>
      </c>
    </row>
    <row r="362" spans="1:41" hidden="1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 t="str">
        <f t="shared" si="15"/>
        <v>Active</v>
      </c>
      <c r="AK362">
        <f t="shared" ca="1" si="16"/>
        <v>2010</v>
      </c>
      <c r="AL362">
        <f t="shared" si="17"/>
        <v>0</v>
      </c>
      <c r="AM362" t="e" cm="1">
        <f t="array" aca="1" ref="AM362" ca="1">IF(B362="Yes",YEAR(TODAY()),BLANK())</f>
        <v>#NAME?</v>
      </c>
      <c r="AN362" t="str" cm="1">
        <f t="array" ref="AN362" xml:space="preserve"> _xlfn.IFS(A362&lt;25,"&lt;25",
A362&lt;=35,"25-35",
A362&lt;=45,"36-45",
TRUE,"45+"
)</f>
        <v>45+</v>
      </c>
      <c r="AO362" t="str" cm="1">
        <f t="array" ref="AO362">_xlfn.IFS(S362&lt;5000,"Low",
S362&lt;=15000,"Medium",
TRUE,"High")</f>
        <v>Medium</v>
      </c>
    </row>
    <row r="363" spans="1:41" hidden="1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 t="str">
        <f t="shared" si="15"/>
        <v>Active</v>
      </c>
      <c r="AK363">
        <f t="shared" ca="1" si="16"/>
        <v>2015</v>
      </c>
      <c r="AL363">
        <f t="shared" si="17"/>
        <v>0</v>
      </c>
      <c r="AM363" t="e" cm="1">
        <f t="array" aca="1" ref="AM363" ca="1">IF(B363="Yes",YEAR(TODAY()),BLANK())</f>
        <v>#NAME?</v>
      </c>
      <c r="AN363" t="str" cm="1">
        <f t="array" ref="AN363" xml:space="preserve"> _xlfn.IFS(A363&lt;25,"&lt;25",
A363&lt;=35,"25-35",
A363&lt;=45,"36-45",
TRUE,"45+"
)</f>
        <v>36-45</v>
      </c>
      <c r="AO363" t="str" cm="1">
        <f t="array" ref="AO363">_xlfn.IFS(S363&lt;5000,"Low",
S363&lt;=15000,"Medium",
TRUE,"High")</f>
        <v>Low</v>
      </c>
    </row>
    <row r="364" spans="1:41" hidden="1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 t="str">
        <f t="shared" si="15"/>
        <v>Active</v>
      </c>
      <c r="AK364">
        <f t="shared" ca="1" si="16"/>
        <v>2022</v>
      </c>
      <c r="AL364">
        <f t="shared" si="17"/>
        <v>0</v>
      </c>
      <c r="AM364" t="e" cm="1">
        <f t="array" aca="1" ref="AM364" ca="1">IF(B364="Yes",YEAR(TODAY()),BLANK())</f>
        <v>#NAME?</v>
      </c>
      <c r="AN364" t="str" cm="1">
        <f t="array" ref="AN364" xml:space="preserve"> _xlfn.IFS(A364&lt;25,"&lt;25",
A364&lt;=35,"25-35",
A364&lt;=45,"36-45",
TRUE,"45+"
)</f>
        <v>&lt;25</v>
      </c>
      <c r="AO364" t="str" cm="1">
        <f t="array" ref="AO364">_xlfn.IFS(S364&lt;5000,"Low",
S364&lt;=15000,"Medium",
TRUE,"High")</f>
        <v>Low</v>
      </c>
    </row>
    <row r="365" spans="1:41" hidden="1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 t="str">
        <f t="shared" si="15"/>
        <v>Resigned</v>
      </c>
      <c r="AK365">
        <f t="shared" ca="1" si="16"/>
        <v>2024</v>
      </c>
      <c r="AL365">
        <f t="shared" si="17"/>
        <v>1</v>
      </c>
      <c r="AM365" cm="1">
        <f t="array" aca="1" ref="AM365" ca="1">IF(B365="Yes",YEAR(TODAY()),BLANK())</f>
        <v>2025</v>
      </c>
      <c r="AN365" t="str" cm="1">
        <f t="array" ref="AN365" xml:space="preserve"> _xlfn.IFS(A365&lt;25,"&lt;25",
A365&lt;=35,"25-35",
A365&lt;=45,"36-45",
TRUE,"45+"
)</f>
        <v>25-35</v>
      </c>
      <c r="AO365" t="str" cm="1">
        <f t="array" ref="AO365">_xlfn.IFS(S365&lt;5000,"Low",
S365&lt;=15000,"Medium",
TRUE,"High")</f>
        <v>Low</v>
      </c>
    </row>
    <row r="366" spans="1:41" hidden="1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 t="str">
        <f t="shared" si="15"/>
        <v>Active</v>
      </c>
      <c r="AK366">
        <f t="shared" ca="1" si="16"/>
        <v>2008</v>
      </c>
      <c r="AL366">
        <f t="shared" si="17"/>
        <v>0</v>
      </c>
      <c r="AM366" t="e" cm="1">
        <f t="array" aca="1" ref="AM366" ca="1">IF(B366="Yes",YEAR(TODAY()),BLANK())</f>
        <v>#NAME?</v>
      </c>
      <c r="AN366" t="str" cm="1">
        <f t="array" ref="AN366" xml:space="preserve"> _xlfn.IFS(A366&lt;25,"&lt;25",
A366&lt;=35,"25-35",
A366&lt;=45,"36-45",
TRUE,"45+"
)</f>
        <v>36-45</v>
      </c>
      <c r="AO366" t="str" cm="1">
        <f t="array" ref="AO366">_xlfn.IFS(S366&lt;5000,"Low",
S366&lt;=15000,"Medium",
TRUE,"High")</f>
        <v>Low</v>
      </c>
    </row>
    <row r="367" spans="1:41" hidden="1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 t="str">
        <f t="shared" si="15"/>
        <v>Active</v>
      </c>
      <c r="AK367">
        <f t="shared" ca="1" si="16"/>
        <v>2018</v>
      </c>
      <c r="AL367">
        <f t="shared" si="17"/>
        <v>0</v>
      </c>
      <c r="AM367" t="e" cm="1">
        <f t="array" aca="1" ref="AM367" ca="1">IF(B367="Yes",YEAR(TODAY()),BLANK())</f>
        <v>#NAME?</v>
      </c>
      <c r="AN367" t="str" cm="1">
        <f t="array" ref="AN367" xml:space="preserve"> _xlfn.IFS(A367&lt;25,"&lt;25",
A367&lt;=35,"25-35",
A367&lt;=45,"36-45",
TRUE,"45+"
)</f>
        <v>45+</v>
      </c>
      <c r="AO367" t="str" cm="1">
        <f t="array" ref="AO367">_xlfn.IFS(S367&lt;5000,"Low",
S367&lt;=15000,"Medium",
TRUE,"High")</f>
        <v>Medium</v>
      </c>
    </row>
    <row r="368" spans="1:41" hidden="1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 t="str">
        <f t="shared" si="15"/>
        <v>Resigned</v>
      </c>
      <c r="AK368">
        <f t="shared" ca="1" si="16"/>
        <v>2017</v>
      </c>
      <c r="AL368">
        <f t="shared" si="17"/>
        <v>1</v>
      </c>
      <c r="AM368" cm="1">
        <f t="array" aca="1" ref="AM368" ca="1">IF(B368="Yes",YEAR(TODAY()),BLANK())</f>
        <v>2025</v>
      </c>
      <c r="AN368" t="str" cm="1">
        <f t="array" ref="AN368" xml:space="preserve"> _xlfn.IFS(A368&lt;25,"&lt;25",
A368&lt;=35,"25-35",
A368&lt;=45,"36-45",
TRUE,"45+"
)</f>
        <v>36-45</v>
      </c>
      <c r="AO368" t="str" cm="1">
        <f t="array" ref="AO368">_xlfn.IFS(S368&lt;5000,"Low",
S368&lt;=15000,"Medium",
TRUE,"High")</f>
        <v>Medium</v>
      </c>
    </row>
    <row r="369" spans="1:41" hidden="1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 t="str">
        <f t="shared" si="15"/>
        <v>Active</v>
      </c>
      <c r="AK369">
        <f t="shared" ca="1" si="16"/>
        <v>2005</v>
      </c>
      <c r="AL369">
        <f t="shared" si="17"/>
        <v>0</v>
      </c>
      <c r="AM369" t="e" cm="1">
        <f t="array" aca="1" ref="AM369" ca="1">IF(B369="Yes",YEAR(TODAY()),BLANK())</f>
        <v>#NAME?</v>
      </c>
      <c r="AN369" t="str" cm="1">
        <f t="array" ref="AN369" xml:space="preserve"> _xlfn.IFS(A369&lt;25,"&lt;25",
A369&lt;=35,"25-35",
A369&lt;=45,"36-45",
TRUE,"45+"
)</f>
        <v>45+</v>
      </c>
      <c r="AO369" t="str" cm="1">
        <f t="array" ref="AO369">_xlfn.IFS(S369&lt;5000,"Low",
S369&lt;=15000,"Medium",
TRUE,"High")</f>
        <v>Medium</v>
      </c>
    </row>
    <row r="370" spans="1:41" hidden="1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 t="str">
        <f t="shared" si="15"/>
        <v>Resigned</v>
      </c>
      <c r="AK370">
        <f t="shared" ca="1" si="16"/>
        <v>2017</v>
      </c>
      <c r="AL370">
        <f t="shared" si="17"/>
        <v>1</v>
      </c>
      <c r="AM370" cm="1">
        <f t="array" aca="1" ref="AM370" ca="1">IF(B370="Yes",YEAR(TODAY()),BLANK())</f>
        <v>2025</v>
      </c>
      <c r="AN370" t="str" cm="1">
        <f t="array" ref="AN370" xml:space="preserve"> _xlfn.IFS(A370&lt;25,"&lt;25",
A370&lt;=35,"25-35",
A370&lt;=45,"36-45",
TRUE,"45+"
)</f>
        <v>36-45</v>
      </c>
      <c r="AO370" t="str" cm="1">
        <f t="array" ref="AO370">_xlfn.IFS(S370&lt;5000,"Low",
S370&lt;=15000,"Medium",
TRUE,"High")</f>
        <v>Medium</v>
      </c>
    </row>
    <row r="371" spans="1:41" hidden="1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 t="str">
        <f t="shared" si="15"/>
        <v>Active</v>
      </c>
      <c r="AK371">
        <f t="shared" ca="1" si="16"/>
        <v>2022</v>
      </c>
      <c r="AL371">
        <f t="shared" si="17"/>
        <v>0</v>
      </c>
      <c r="AM371" t="e" cm="1">
        <f t="array" aca="1" ref="AM371" ca="1">IF(B371="Yes",YEAR(TODAY()),BLANK())</f>
        <v>#NAME?</v>
      </c>
      <c r="AN371" t="str" cm="1">
        <f t="array" ref="AN371" xml:space="preserve"> _xlfn.IFS(A371&lt;25,"&lt;25",
A371&lt;=35,"25-35",
A371&lt;=45,"36-45",
TRUE,"45+"
)</f>
        <v>25-35</v>
      </c>
      <c r="AO371" t="str" cm="1">
        <f t="array" ref="AO371">_xlfn.IFS(S371&lt;5000,"Low",
S371&lt;=15000,"Medium",
TRUE,"High")</f>
        <v>Low</v>
      </c>
    </row>
    <row r="372" spans="1:41" hidden="1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 t="str">
        <f t="shared" si="15"/>
        <v>Resigned</v>
      </c>
      <c r="AK372">
        <f t="shared" ca="1" si="16"/>
        <v>2024</v>
      </c>
      <c r="AL372">
        <f t="shared" si="17"/>
        <v>1</v>
      </c>
      <c r="AM372" cm="1">
        <f t="array" aca="1" ref="AM372" ca="1">IF(B372="Yes",YEAR(TODAY()),BLANK())</f>
        <v>2025</v>
      </c>
      <c r="AN372" t="str" cm="1">
        <f t="array" ref="AN372" xml:space="preserve"> _xlfn.IFS(A372&lt;25,"&lt;25",
A372&lt;=35,"25-35",
A372&lt;=45,"36-45",
TRUE,"45+"
)</f>
        <v>&lt;25</v>
      </c>
      <c r="AO372" t="str" cm="1">
        <f t="array" ref="AO372">_xlfn.IFS(S372&lt;5000,"Low",
S372&lt;=15000,"Medium",
TRUE,"High")</f>
        <v>Low</v>
      </c>
    </row>
    <row r="373" spans="1:41" hidden="1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 t="str">
        <f t="shared" si="15"/>
        <v>Active</v>
      </c>
      <c r="AK373">
        <f t="shared" ca="1" si="16"/>
        <v>2019</v>
      </c>
      <c r="AL373">
        <f t="shared" si="17"/>
        <v>0</v>
      </c>
      <c r="AM373" t="e" cm="1">
        <f t="array" aca="1" ref="AM373" ca="1">IF(B373="Yes",YEAR(TODAY()),BLANK())</f>
        <v>#NAME?</v>
      </c>
      <c r="AN373" t="str" cm="1">
        <f t="array" ref="AN373" xml:space="preserve"> _xlfn.IFS(A373&lt;25,"&lt;25",
A373&lt;=35,"25-35",
A373&lt;=45,"36-45",
TRUE,"45+"
)</f>
        <v>25-35</v>
      </c>
      <c r="AO373" t="str" cm="1">
        <f t="array" ref="AO373">_xlfn.IFS(S373&lt;5000,"Low",
S373&lt;=15000,"Medium",
TRUE,"High")</f>
        <v>Low</v>
      </c>
    </row>
    <row r="374" spans="1:41" hidden="1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 t="str">
        <f t="shared" si="15"/>
        <v>Active</v>
      </c>
      <c r="AK374">
        <f t="shared" ca="1" si="16"/>
        <v>2015</v>
      </c>
      <c r="AL374">
        <f t="shared" si="17"/>
        <v>0</v>
      </c>
      <c r="AM374" t="e" cm="1">
        <f t="array" aca="1" ref="AM374" ca="1">IF(B374="Yes",YEAR(TODAY()),BLANK())</f>
        <v>#NAME?</v>
      </c>
      <c r="AN374" t="str" cm="1">
        <f t="array" ref="AN374" xml:space="preserve"> _xlfn.IFS(A374&lt;25,"&lt;25",
A374&lt;=35,"25-35",
A374&lt;=45,"36-45",
TRUE,"45+"
)</f>
        <v>25-35</v>
      </c>
      <c r="AO374" t="str" cm="1">
        <f t="array" ref="AO374">_xlfn.IFS(S374&lt;5000,"Low",
S374&lt;=15000,"Medium",
TRUE,"High")</f>
        <v>Medium</v>
      </c>
    </row>
    <row r="375" spans="1:41" hidden="1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 t="str">
        <f t="shared" si="15"/>
        <v>Active</v>
      </c>
      <c r="AK375">
        <f t="shared" ca="1" si="16"/>
        <v>2020</v>
      </c>
      <c r="AL375">
        <f t="shared" si="17"/>
        <v>0</v>
      </c>
      <c r="AM375" t="e" cm="1">
        <f t="array" aca="1" ref="AM375" ca="1">IF(B375="Yes",YEAR(TODAY()),BLANK())</f>
        <v>#NAME?</v>
      </c>
      <c r="AN375" t="str" cm="1">
        <f t="array" ref="AN375" xml:space="preserve"> _xlfn.IFS(A375&lt;25,"&lt;25",
A375&lt;=35,"25-35",
A375&lt;=45,"36-45",
TRUE,"45+"
)</f>
        <v>25-35</v>
      </c>
      <c r="AO375" t="str" cm="1">
        <f t="array" ref="AO375">_xlfn.IFS(S375&lt;5000,"Low",
S375&lt;=15000,"Medium",
TRUE,"High")</f>
        <v>Low</v>
      </c>
    </row>
    <row r="376" spans="1:41" hidden="1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 t="str">
        <f t="shared" si="15"/>
        <v>Active</v>
      </c>
      <c r="AK376">
        <f t="shared" ca="1" si="16"/>
        <v>2018</v>
      </c>
      <c r="AL376">
        <f t="shared" si="17"/>
        <v>0</v>
      </c>
      <c r="AM376" t="e" cm="1">
        <f t="array" aca="1" ref="AM376" ca="1">IF(B376="Yes",YEAR(TODAY()),BLANK())</f>
        <v>#NAME?</v>
      </c>
      <c r="AN376" t="str" cm="1">
        <f t="array" ref="AN376" xml:space="preserve"> _xlfn.IFS(A376&lt;25,"&lt;25",
A376&lt;=35,"25-35",
A376&lt;=45,"36-45",
TRUE,"45+"
)</f>
        <v>25-35</v>
      </c>
      <c r="AO376" t="str" cm="1">
        <f t="array" ref="AO376">_xlfn.IFS(S376&lt;5000,"Low",
S376&lt;=15000,"Medium",
TRUE,"High")</f>
        <v>Medium</v>
      </c>
    </row>
    <row r="377" spans="1:41" hidden="1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 t="str">
        <f t="shared" si="15"/>
        <v>Active</v>
      </c>
      <c r="AK377">
        <f t="shared" ca="1" si="16"/>
        <v>1999</v>
      </c>
      <c r="AL377">
        <f t="shared" si="17"/>
        <v>0</v>
      </c>
      <c r="AM377" t="e" cm="1">
        <f t="array" aca="1" ref="AM377" ca="1">IF(B377="Yes",YEAR(TODAY()),BLANK())</f>
        <v>#NAME?</v>
      </c>
      <c r="AN377" t="str" cm="1">
        <f t="array" ref="AN377" xml:space="preserve"> _xlfn.IFS(A377&lt;25,"&lt;25",
A377&lt;=35,"25-35",
A377&lt;=45,"36-45",
TRUE,"45+"
)</f>
        <v>45+</v>
      </c>
      <c r="AO377" t="str" cm="1">
        <f t="array" ref="AO377">_xlfn.IFS(S377&lt;5000,"Low",
S377&lt;=15000,"Medium",
TRUE,"High")</f>
        <v>Medium</v>
      </c>
    </row>
    <row r="378" spans="1:41" hidden="1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 t="str">
        <f t="shared" si="15"/>
        <v>Active</v>
      </c>
      <c r="AK378">
        <f t="shared" ca="1" si="16"/>
        <v>2007</v>
      </c>
      <c r="AL378">
        <f t="shared" si="17"/>
        <v>0</v>
      </c>
      <c r="AM378" t="e" cm="1">
        <f t="array" aca="1" ref="AM378" ca="1">IF(B378="Yes",YEAR(TODAY()),BLANK())</f>
        <v>#NAME?</v>
      </c>
      <c r="AN378" t="str" cm="1">
        <f t="array" ref="AN378" xml:space="preserve"> _xlfn.IFS(A378&lt;25,"&lt;25",
A378&lt;=35,"25-35",
A378&lt;=45,"36-45",
TRUE,"45+"
)</f>
        <v>45+</v>
      </c>
      <c r="AO378" t="str" cm="1">
        <f t="array" ref="AO378">_xlfn.IFS(S378&lt;5000,"Low",
S378&lt;=15000,"Medium",
TRUE,"High")</f>
        <v>Low</v>
      </c>
    </row>
    <row r="379" spans="1:41" hidden="1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 t="str">
        <f t="shared" si="15"/>
        <v>Active</v>
      </c>
      <c r="AK379">
        <f t="shared" ca="1" si="16"/>
        <v>2019</v>
      </c>
      <c r="AL379">
        <f t="shared" si="17"/>
        <v>0</v>
      </c>
      <c r="AM379" t="e" cm="1">
        <f t="array" aca="1" ref="AM379" ca="1">IF(B379="Yes",YEAR(TODAY()),BLANK())</f>
        <v>#NAME?</v>
      </c>
      <c r="AN379" t="str" cm="1">
        <f t="array" ref="AN379" xml:space="preserve"> _xlfn.IFS(A379&lt;25,"&lt;25",
A379&lt;=35,"25-35",
A379&lt;=45,"36-45",
TRUE,"45+"
)</f>
        <v>36-45</v>
      </c>
      <c r="AO379" t="str" cm="1">
        <f t="array" ref="AO379">_xlfn.IFS(S379&lt;5000,"Low",
S379&lt;=15000,"Medium",
TRUE,"High")</f>
        <v>Low</v>
      </c>
    </row>
    <row r="380" spans="1:41" hidden="1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 t="str">
        <f t="shared" si="15"/>
        <v>Resigned</v>
      </c>
      <c r="AK380">
        <f t="shared" ca="1" si="16"/>
        <v>2016</v>
      </c>
      <c r="AL380">
        <f t="shared" si="17"/>
        <v>1</v>
      </c>
      <c r="AM380" cm="1">
        <f t="array" aca="1" ref="AM380" ca="1">IF(B380="Yes",YEAR(TODAY()),BLANK())</f>
        <v>2025</v>
      </c>
      <c r="AN380" t="str" cm="1">
        <f t="array" ref="AN380" xml:space="preserve"> _xlfn.IFS(A380&lt;25,"&lt;25",
A380&lt;=35,"25-35",
A380&lt;=45,"36-45",
TRUE,"45+"
)</f>
        <v>25-35</v>
      </c>
      <c r="AO380" t="str" cm="1">
        <f t="array" ref="AO380">_xlfn.IFS(S380&lt;5000,"Low",
S380&lt;=15000,"Medium",
TRUE,"High")</f>
        <v>Medium</v>
      </c>
    </row>
    <row r="381" spans="1:41" hidden="1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 t="str">
        <f t="shared" si="15"/>
        <v>Active</v>
      </c>
      <c r="AK381">
        <f t="shared" ca="1" si="16"/>
        <v>1995</v>
      </c>
      <c r="AL381">
        <f t="shared" si="17"/>
        <v>0</v>
      </c>
      <c r="AM381" t="e" cm="1">
        <f t="array" aca="1" ref="AM381" ca="1">IF(B381="Yes",YEAR(TODAY()),BLANK())</f>
        <v>#NAME?</v>
      </c>
      <c r="AN381" t="str" cm="1">
        <f t="array" ref="AN381" xml:space="preserve"> _xlfn.IFS(A381&lt;25,"&lt;25",
A381&lt;=35,"25-35",
A381&lt;=45,"36-45",
TRUE,"45+"
)</f>
        <v>45+</v>
      </c>
      <c r="AO381" t="str" cm="1">
        <f t="array" ref="AO381">_xlfn.IFS(S381&lt;5000,"Low",
S381&lt;=15000,"Medium",
TRUE,"High")</f>
        <v>High</v>
      </c>
    </row>
    <row r="382" spans="1:41" hidden="1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 t="str">
        <f t="shared" si="15"/>
        <v>Active</v>
      </c>
      <c r="AK382">
        <f t="shared" ca="1" si="16"/>
        <v>2020</v>
      </c>
      <c r="AL382">
        <f t="shared" si="17"/>
        <v>0</v>
      </c>
      <c r="AM382" t="e" cm="1">
        <f t="array" aca="1" ref="AM382" ca="1">IF(B382="Yes",YEAR(TODAY()),BLANK())</f>
        <v>#NAME?</v>
      </c>
      <c r="AN382" t="str" cm="1">
        <f t="array" ref="AN382" xml:space="preserve"> _xlfn.IFS(A382&lt;25,"&lt;25",
A382&lt;=35,"25-35",
A382&lt;=45,"36-45",
TRUE,"45+"
)</f>
        <v>&lt;25</v>
      </c>
      <c r="AO382" t="str" cm="1">
        <f t="array" ref="AO382">_xlfn.IFS(S382&lt;5000,"Low",
S382&lt;=15000,"Medium",
TRUE,"High")</f>
        <v>Low</v>
      </c>
    </row>
    <row r="383" spans="1:41" hidden="1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 t="str">
        <f t="shared" si="15"/>
        <v>Active</v>
      </c>
      <c r="AK383">
        <f t="shared" ca="1" si="16"/>
        <v>2024</v>
      </c>
      <c r="AL383">
        <f t="shared" si="17"/>
        <v>0</v>
      </c>
      <c r="AM383" t="e" cm="1">
        <f t="array" aca="1" ref="AM383" ca="1">IF(B383="Yes",YEAR(TODAY()),BLANK())</f>
        <v>#NAME?</v>
      </c>
      <c r="AN383" t="str" cm="1">
        <f t="array" ref="AN383" xml:space="preserve"> _xlfn.IFS(A383&lt;25,"&lt;25",
A383&lt;=35,"25-35",
A383&lt;=45,"36-45",
TRUE,"45+"
)</f>
        <v>25-35</v>
      </c>
      <c r="AO383" t="str" cm="1">
        <f t="array" ref="AO383">_xlfn.IFS(S383&lt;5000,"Low",
S383&lt;=15000,"Medium",
TRUE,"High")</f>
        <v>Low</v>
      </c>
    </row>
    <row r="384" spans="1:41" hidden="1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 t="str">
        <f t="shared" si="15"/>
        <v>Resigned</v>
      </c>
      <c r="AK384">
        <f t="shared" ca="1" si="16"/>
        <v>2018</v>
      </c>
      <c r="AL384">
        <f t="shared" si="17"/>
        <v>1</v>
      </c>
      <c r="AM384" cm="1">
        <f t="array" aca="1" ref="AM384" ca="1">IF(B384="Yes",YEAR(TODAY()),BLANK())</f>
        <v>2025</v>
      </c>
      <c r="AN384" t="str" cm="1">
        <f t="array" ref="AN384" xml:space="preserve"> _xlfn.IFS(A384&lt;25,"&lt;25",
A384&lt;=35,"25-35",
A384&lt;=45,"36-45",
TRUE,"45+"
)</f>
        <v>25-35</v>
      </c>
      <c r="AO384" t="str" cm="1">
        <f t="array" ref="AO384">_xlfn.IFS(S384&lt;5000,"Low",
S384&lt;=15000,"Medium",
TRUE,"High")</f>
        <v>Low</v>
      </c>
    </row>
    <row r="385" spans="1:41" hidden="1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 t="str">
        <f t="shared" si="15"/>
        <v>Active</v>
      </c>
      <c r="AK385">
        <f t="shared" ca="1" si="16"/>
        <v>2023</v>
      </c>
      <c r="AL385">
        <f t="shared" si="17"/>
        <v>0</v>
      </c>
      <c r="AM385" t="e" cm="1">
        <f t="array" aca="1" ref="AM385" ca="1">IF(B385="Yes",YEAR(TODAY()),BLANK())</f>
        <v>#NAME?</v>
      </c>
      <c r="AN385" t="str" cm="1">
        <f t="array" ref="AN385" xml:space="preserve"> _xlfn.IFS(A385&lt;25,"&lt;25",
A385&lt;=35,"25-35",
A385&lt;=45,"36-45",
TRUE,"45+"
)</f>
        <v>&lt;25</v>
      </c>
      <c r="AO385" t="str" cm="1">
        <f t="array" ref="AO385">_xlfn.IFS(S385&lt;5000,"Low",
S385&lt;=15000,"Medium",
TRUE,"High")</f>
        <v>Low</v>
      </c>
    </row>
    <row r="386" spans="1:41" hidden="1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 t="str">
        <f t="shared" si="15"/>
        <v>Active</v>
      </c>
      <c r="AK386">
        <f t="shared" ca="1" si="16"/>
        <v>2015</v>
      </c>
      <c r="AL386">
        <f t="shared" si="17"/>
        <v>0</v>
      </c>
      <c r="AM386" t="e" cm="1">
        <f t="array" aca="1" ref="AM386" ca="1">IF(B386="Yes",YEAR(TODAY()),BLANK())</f>
        <v>#NAME?</v>
      </c>
      <c r="AN386" t="str" cm="1">
        <f t="array" ref="AN386" xml:space="preserve"> _xlfn.IFS(A386&lt;25,"&lt;25",
A386&lt;=35,"25-35",
A386&lt;=45,"36-45",
TRUE,"45+"
)</f>
        <v>36-45</v>
      </c>
      <c r="AO386" t="str" cm="1">
        <f t="array" ref="AO386">_xlfn.IFS(S386&lt;5000,"Low",
S386&lt;=15000,"Medium",
TRUE,"High")</f>
        <v>Medium</v>
      </c>
    </row>
    <row r="387" spans="1:41" hidden="1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 t="str">
        <f t="shared" ref="AJ387:AJ450" si="18">IF(B387="Yes", "Resigned","Active")</f>
        <v>Resigned</v>
      </c>
      <c r="AK387">
        <f t="shared" ref="AK387:AK450" ca="1" si="19">YEAR(TODAY()) - AC387</f>
        <v>2022</v>
      </c>
      <c r="AL387">
        <f t="shared" ref="AL387:AL450" si="20">IF(B387="Yes",1,0)</f>
        <v>1</v>
      </c>
      <c r="AM387" cm="1">
        <f t="array" aca="1" ref="AM387" ca="1">IF(B387="Yes",YEAR(TODAY()),BLANK())</f>
        <v>2025</v>
      </c>
      <c r="AN387" t="str" cm="1">
        <f t="array" ref="AN387" xml:space="preserve"> _xlfn.IFS(A387&lt;25,"&lt;25",
A387&lt;=35,"25-35",
A387&lt;=45,"36-45",
TRUE,"45+"
)</f>
        <v>25-35</v>
      </c>
      <c r="AO387" t="str" cm="1">
        <f t="array" ref="AO387">_xlfn.IFS(S387&lt;5000,"Low",
S387&lt;=15000,"Medium",
TRUE,"High")</f>
        <v>Low</v>
      </c>
    </row>
    <row r="388" spans="1:41" hidden="1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 t="str">
        <f t="shared" si="18"/>
        <v>Active</v>
      </c>
      <c r="AK388">
        <f t="shared" ca="1" si="19"/>
        <v>2007</v>
      </c>
      <c r="AL388">
        <f t="shared" si="20"/>
        <v>0</v>
      </c>
      <c r="AM388" t="e" cm="1">
        <f t="array" aca="1" ref="AM388" ca="1">IF(B388="Yes",YEAR(TODAY()),BLANK())</f>
        <v>#NAME?</v>
      </c>
      <c r="AN388" t="str" cm="1">
        <f t="array" ref="AN388" xml:space="preserve"> _xlfn.IFS(A388&lt;25,"&lt;25",
A388&lt;=35,"25-35",
A388&lt;=45,"36-45",
TRUE,"45+"
)</f>
        <v>36-45</v>
      </c>
      <c r="AO388" t="str" cm="1">
        <f t="array" ref="AO388">_xlfn.IFS(S388&lt;5000,"Low",
S388&lt;=15000,"Medium",
TRUE,"High")</f>
        <v>Low</v>
      </c>
    </row>
    <row r="389" spans="1:41" hidden="1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 t="str">
        <f t="shared" si="18"/>
        <v>Active</v>
      </c>
      <c r="AK389">
        <f t="shared" ca="1" si="19"/>
        <v>2017</v>
      </c>
      <c r="AL389">
        <f t="shared" si="20"/>
        <v>0</v>
      </c>
      <c r="AM389" t="e" cm="1">
        <f t="array" aca="1" ref="AM389" ca="1">IF(B389="Yes",YEAR(TODAY()),BLANK())</f>
        <v>#NAME?</v>
      </c>
      <c r="AN389" t="str" cm="1">
        <f t="array" ref="AN389" xml:space="preserve"> _xlfn.IFS(A389&lt;25,"&lt;25",
A389&lt;=35,"25-35",
A389&lt;=45,"36-45",
TRUE,"45+"
)</f>
        <v>36-45</v>
      </c>
      <c r="AO389" t="str" cm="1">
        <f t="array" ref="AO389">_xlfn.IFS(S389&lt;5000,"Low",
S389&lt;=15000,"Medium",
TRUE,"High")</f>
        <v>Medium</v>
      </c>
    </row>
    <row r="390" spans="1:41" hidden="1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 t="str">
        <f t="shared" si="18"/>
        <v>Active</v>
      </c>
      <c r="AK390">
        <f t="shared" ca="1" si="19"/>
        <v>2017</v>
      </c>
      <c r="AL390">
        <f t="shared" si="20"/>
        <v>0</v>
      </c>
      <c r="AM390" t="e" cm="1">
        <f t="array" aca="1" ref="AM390" ca="1">IF(B390="Yes",YEAR(TODAY()),BLANK())</f>
        <v>#NAME?</v>
      </c>
      <c r="AN390" t="str" cm="1">
        <f t="array" ref="AN390" xml:space="preserve"> _xlfn.IFS(A390&lt;25,"&lt;25",
A390&lt;=35,"25-35",
A390&lt;=45,"36-45",
TRUE,"45+"
)</f>
        <v>36-45</v>
      </c>
      <c r="AO390" t="str" cm="1">
        <f t="array" ref="AO390">_xlfn.IFS(S390&lt;5000,"Low",
S390&lt;=15000,"Medium",
TRUE,"High")</f>
        <v>Low</v>
      </c>
    </row>
    <row r="391" spans="1:41" hidden="1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 t="str">
        <f t="shared" si="18"/>
        <v>Active</v>
      </c>
      <c r="AK391">
        <f t="shared" ca="1" si="19"/>
        <v>2007</v>
      </c>
      <c r="AL391">
        <f t="shared" si="20"/>
        <v>0</v>
      </c>
      <c r="AM391" t="e" cm="1">
        <f t="array" aca="1" ref="AM391" ca="1">IF(B391="Yes",YEAR(TODAY()),BLANK())</f>
        <v>#NAME?</v>
      </c>
      <c r="AN391" t="str" cm="1">
        <f t="array" ref="AN391" xml:space="preserve"> _xlfn.IFS(A391&lt;25,"&lt;25",
A391&lt;=35,"25-35",
A391&lt;=45,"36-45",
TRUE,"45+"
)</f>
        <v>36-45</v>
      </c>
      <c r="AO391" t="str" cm="1">
        <f t="array" ref="AO391">_xlfn.IFS(S391&lt;5000,"Low",
S391&lt;=15000,"Medium",
TRUE,"High")</f>
        <v>Low</v>
      </c>
    </row>
    <row r="392" spans="1:41" hidden="1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 t="str">
        <f t="shared" si="18"/>
        <v>Active</v>
      </c>
      <c r="AK392">
        <f t="shared" ca="1" si="19"/>
        <v>2000</v>
      </c>
      <c r="AL392">
        <f t="shared" si="20"/>
        <v>0</v>
      </c>
      <c r="AM392" t="e" cm="1">
        <f t="array" aca="1" ref="AM392" ca="1">IF(B392="Yes",YEAR(TODAY()),BLANK())</f>
        <v>#NAME?</v>
      </c>
      <c r="AN392" t="str" cm="1">
        <f t="array" ref="AN392" xml:space="preserve"> _xlfn.IFS(A392&lt;25,"&lt;25",
A392&lt;=35,"25-35",
A392&lt;=45,"36-45",
TRUE,"45+"
)</f>
        <v>36-45</v>
      </c>
      <c r="AO392" t="str" cm="1">
        <f t="array" ref="AO392">_xlfn.IFS(S392&lt;5000,"Low",
S392&lt;=15000,"Medium",
TRUE,"High")</f>
        <v>Medium</v>
      </c>
    </row>
    <row r="393" spans="1:41" hidden="1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 t="str">
        <f t="shared" si="18"/>
        <v>Active</v>
      </c>
      <c r="AK393">
        <f t="shared" ca="1" si="19"/>
        <v>2005</v>
      </c>
      <c r="AL393">
        <f t="shared" si="20"/>
        <v>0</v>
      </c>
      <c r="AM393" t="e" cm="1">
        <f t="array" aca="1" ref="AM393" ca="1">IF(B393="Yes",YEAR(TODAY()),BLANK())</f>
        <v>#NAME?</v>
      </c>
      <c r="AN393" t="str" cm="1">
        <f t="array" ref="AN393" xml:space="preserve"> _xlfn.IFS(A393&lt;25,"&lt;25",
A393&lt;=35,"25-35",
A393&lt;=45,"36-45",
TRUE,"45+"
)</f>
        <v>36-45</v>
      </c>
      <c r="AO393" t="str" cm="1">
        <f t="array" ref="AO393">_xlfn.IFS(S393&lt;5000,"Low",
S393&lt;=15000,"Medium",
TRUE,"High")</f>
        <v>Low</v>
      </c>
    </row>
    <row r="394" spans="1:41" hidden="1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 t="str">
        <f t="shared" si="18"/>
        <v>Active</v>
      </c>
      <c r="AK394">
        <f t="shared" ca="1" si="19"/>
        <v>2001</v>
      </c>
      <c r="AL394">
        <f t="shared" si="20"/>
        <v>0</v>
      </c>
      <c r="AM394" t="e" cm="1">
        <f t="array" aca="1" ref="AM394" ca="1">IF(B394="Yes",YEAR(TODAY()),BLANK())</f>
        <v>#NAME?</v>
      </c>
      <c r="AN394" t="str" cm="1">
        <f t="array" ref="AN394" xml:space="preserve"> _xlfn.IFS(A394&lt;25,"&lt;25",
A394&lt;=35,"25-35",
A394&lt;=45,"36-45",
TRUE,"45+"
)</f>
        <v>45+</v>
      </c>
      <c r="AO394" t="str" cm="1">
        <f t="array" ref="AO394">_xlfn.IFS(S394&lt;5000,"Low",
S394&lt;=15000,"Medium",
TRUE,"High")</f>
        <v>High</v>
      </c>
    </row>
    <row r="395" spans="1:41" hidden="1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 t="str">
        <f t="shared" si="18"/>
        <v>Active</v>
      </c>
      <c r="AK395">
        <f t="shared" ca="1" si="19"/>
        <v>2019</v>
      </c>
      <c r="AL395">
        <f t="shared" si="20"/>
        <v>0</v>
      </c>
      <c r="AM395" t="e" cm="1">
        <f t="array" aca="1" ref="AM395" ca="1">IF(B395="Yes",YEAR(TODAY()),BLANK())</f>
        <v>#NAME?</v>
      </c>
      <c r="AN395" t="str" cm="1">
        <f t="array" ref="AN395" xml:space="preserve"> _xlfn.IFS(A395&lt;25,"&lt;25",
A395&lt;=35,"25-35",
A395&lt;=45,"36-45",
TRUE,"45+"
)</f>
        <v>25-35</v>
      </c>
      <c r="AO395" t="str" cm="1">
        <f t="array" ref="AO395">_xlfn.IFS(S395&lt;5000,"Low",
S395&lt;=15000,"Medium",
TRUE,"High")</f>
        <v>Medium</v>
      </c>
    </row>
    <row r="396" spans="1:41" hidden="1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 t="str">
        <f t="shared" si="18"/>
        <v>Active</v>
      </c>
      <c r="AK396">
        <f t="shared" ca="1" si="19"/>
        <v>2012</v>
      </c>
      <c r="AL396">
        <f t="shared" si="20"/>
        <v>0</v>
      </c>
      <c r="AM396" t="e" cm="1">
        <f t="array" aca="1" ref="AM396" ca="1">IF(B396="Yes",YEAR(TODAY()),BLANK())</f>
        <v>#NAME?</v>
      </c>
      <c r="AN396" t="str" cm="1">
        <f t="array" ref="AN396" xml:space="preserve"> _xlfn.IFS(A396&lt;25,"&lt;25",
A396&lt;=35,"25-35",
A396&lt;=45,"36-45",
TRUE,"45+"
)</f>
        <v>25-35</v>
      </c>
      <c r="AO396" t="str" cm="1">
        <f t="array" ref="AO396">_xlfn.IFS(S396&lt;5000,"Low",
S396&lt;=15000,"Medium",
TRUE,"High")</f>
        <v>Low</v>
      </c>
    </row>
    <row r="397" spans="1:41" hidden="1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 t="str">
        <f t="shared" si="18"/>
        <v>Active</v>
      </c>
      <c r="AK397">
        <f t="shared" ca="1" si="19"/>
        <v>2017</v>
      </c>
      <c r="AL397">
        <f t="shared" si="20"/>
        <v>0</v>
      </c>
      <c r="AM397" t="e" cm="1">
        <f t="array" aca="1" ref="AM397" ca="1">IF(B397="Yes",YEAR(TODAY()),BLANK())</f>
        <v>#NAME?</v>
      </c>
      <c r="AN397" t="str" cm="1">
        <f t="array" ref="AN397" xml:space="preserve"> _xlfn.IFS(A397&lt;25,"&lt;25",
A397&lt;=35,"25-35",
A397&lt;=45,"36-45",
TRUE,"45+"
)</f>
        <v>36-45</v>
      </c>
      <c r="AO397" t="str" cm="1">
        <f t="array" ref="AO397">_xlfn.IFS(S397&lt;5000,"Low",
S397&lt;=15000,"Medium",
TRUE,"High")</f>
        <v>Low</v>
      </c>
    </row>
    <row r="398" spans="1:41" hidden="1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 t="str">
        <f t="shared" si="18"/>
        <v>Active</v>
      </c>
      <c r="AK398">
        <f t="shared" ca="1" si="19"/>
        <v>2017</v>
      </c>
      <c r="AL398">
        <f t="shared" si="20"/>
        <v>0</v>
      </c>
      <c r="AM398" t="e" cm="1">
        <f t="array" aca="1" ref="AM398" ca="1">IF(B398="Yes",YEAR(TODAY()),BLANK())</f>
        <v>#NAME?</v>
      </c>
      <c r="AN398" t="str" cm="1">
        <f t="array" ref="AN398" xml:space="preserve"> _xlfn.IFS(A398&lt;25,"&lt;25",
A398&lt;=35,"25-35",
A398&lt;=45,"36-45",
TRUE,"45+"
)</f>
        <v>36-45</v>
      </c>
      <c r="AO398" t="str" cm="1">
        <f t="array" ref="AO398">_xlfn.IFS(S398&lt;5000,"Low",
S398&lt;=15000,"Medium",
TRUE,"High")</f>
        <v>Low</v>
      </c>
    </row>
    <row r="399" spans="1:41" hidden="1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 t="str">
        <f t="shared" si="18"/>
        <v>Active</v>
      </c>
      <c r="AK399">
        <f t="shared" ca="1" si="19"/>
        <v>2020</v>
      </c>
      <c r="AL399">
        <f t="shared" si="20"/>
        <v>0</v>
      </c>
      <c r="AM399" t="e" cm="1">
        <f t="array" aca="1" ref="AM399" ca="1">IF(B399="Yes",YEAR(TODAY()),BLANK())</f>
        <v>#NAME?</v>
      </c>
      <c r="AN399" t="str" cm="1">
        <f t="array" ref="AN399" xml:space="preserve"> _xlfn.IFS(A399&lt;25,"&lt;25",
A399&lt;=35,"25-35",
A399&lt;=45,"36-45",
TRUE,"45+"
)</f>
        <v>25-35</v>
      </c>
      <c r="AO399" t="str" cm="1">
        <f t="array" ref="AO399">_xlfn.IFS(S399&lt;5000,"Low",
S399&lt;=15000,"Medium",
TRUE,"High")</f>
        <v>Low</v>
      </c>
    </row>
    <row r="400" spans="1:41" hidden="1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 t="str">
        <f t="shared" si="18"/>
        <v>Active</v>
      </c>
      <c r="AK400">
        <f t="shared" ca="1" si="19"/>
        <v>2010</v>
      </c>
      <c r="AL400">
        <f t="shared" si="20"/>
        <v>0</v>
      </c>
      <c r="AM400" t="e" cm="1">
        <f t="array" aca="1" ref="AM400" ca="1">IF(B400="Yes",YEAR(TODAY()),BLANK())</f>
        <v>#NAME?</v>
      </c>
      <c r="AN400" t="str" cm="1">
        <f t="array" ref="AN400" xml:space="preserve"> _xlfn.IFS(A400&lt;25,"&lt;25",
A400&lt;=35,"25-35",
A400&lt;=45,"36-45",
TRUE,"45+"
)</f>
        <v>36-45</v>
      </c>
      <c r="AO400" t="str" cm="1">
        <f t="array" ref="AO400">_xlfn.IFS(S400&lt;5000,"Low",
S400&lt;=15000,"Medium",
TRUE,"High")</f>
        <v>Low</v>
      </c>
    </row>
    <row r="401" spans="1:41" hidden="1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 t="str">
        <f t="shared" si="18"/>
        <v>Active</v>
      </c>
      <c r="AK401">
        <f t="shared" ca="1" si="19"/>
        <v>2021</v>
      </c>
      <c r="AL401">
        <f t="shared" si="20"/>
        <v>0</v>
      </c>
      <c r="AM401" t="e" cm="1">
        <f t="array" aca="1" ref="AM401" ca="1">IF(B401="Yes",YEAR(TODAY()),BLANK())</f>
        <v>#NAME?</v>
      </c>
      <c r="AN401" t="str" cm="1">
        <f t="array" ref="AN401" xml:space="preserve"> _xlfn.IFS(A401&lt;25,"&lt;25",
A401&lt;=35,"25-35",
A401&lt;=45,"36-45",
TRUE,"45+"
)</f>
        <v>25-35</v>
      </c>
      <c r="AO401" t="str" cm="1">
        <f t="array" ref="AO401">_xlfn.IFS(S401&lt;5000,"Low",
S401&lt;=15000,"Medium",
TRUE,"High")</f>
        <v>Low</v>
      </c>
    </row>
    <row r="402" spans="1:41" hidden="1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 t="str">
        <f t="shared" si="18"/>
        <v>Active</v>
      </c>
      <c r="AK402">
        <f t="shared" ca="1" si="19"/>
        <v>2004</v>
      </c>
      <c r="AL402">
        <f t="shared" si="20"/>
        <v>0</v>
      </c>
      <c r="AM402" t="e" cm="1">
        <f t="array" aca="1" ref="AM402" ca="1">IF(B402="Yes",YEAR(TODAY()),BLANK())</f>
        <v>#NAME?</v>
      </c>
      <c r="AN402" t="str" cm="1">
        <f t="array" ref="AN402" xml:space="preserve"> _xlfn.IFS(A402&lt;25,"&lt;25",
A402&lt;=35,"25-35",
A402&lt;=45,"36-45",
TRUE,"45+"
)</f>
        <v>36-45</v>
      </c>
      <c r="AO402" t="str" cm="1">
        <f t="array" ref="AO402">_xlfn.IFS(S402&lt;5000,"Low",
S402&lt;=15000,"Medium",
TRUE,"High")</f>
        <v>High</v>
      </c>
    </row>
    <row r="403" spans="1:41" hidden="1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 t="str">
        <f t="shared" si="18"/>
        <v>Active</v>
      </c>
      <c r="AK403">
        <f t="shared" ca="1" si="19"/>
        <v>1989</v>
      </c>
      <c r="AL403">
        <f t="shared" si="20"/>
        <v>0</v>
      </c>
      <c r="AM403" t="e" cm="1">
        <f t="array" aca="1" ref="AM403" ca="1">IF(B403="Yes",YEAR(TODAY()),BLANK())</f>
        <v>#NAME?</v>
      </c>
      <c r="AN403" t="str" cm="1">
        <f t="array" ref="AN403" xml:space="preserve"> _xlfn.IFS(A403&lt;25,"&lt;25",
A403&lt;=35,"25-35",
A403&lt;=45,"36-45",
TRUE,"45+"
)</f>
        <v>45+</v>
      </c>
      <c r="AO403" t="str" cm="1">
        <f t="array" ref="AO403">_xlfn.IFS(S403&lt;5000,"Low",
S403&lt;=15000,"Medium",
TRUE,"High")</f>
        <v>Medium</v>
      </c>
    </row>
    <row r="404" spans="1:41" hidden="1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 t="str">
        <f t="shared" si="18"/>
        <v>Active</v>
      </c>
      <c r="AK404">
        <f t="shared" ca="1" si="19"/>
        <v>2019</v>
      </c>
      <c r="AL404">
        <f t="shared" si="20"/>
        <v>0</v>
      </c>
      <c r="AM404" t="e" cm="1">
        <f t="array" aca="1" ref="AM404" ca="1">IF(B404="Yes",YEAR(TODAY()),BLANK())</f>
        <v>#NAME?</v>
      </c>
      <c r="AN404" t="str" cm="1">
        <f t="array" ref="AN404" xml:space="preserve"> _xlfn.IFS(A404&lt;25,"&lt;25",
A404&lt;=35,"25-35",
A404&lt;=45,"36-45",
TRUE,"45+"
)</f>
        <v>25-35</v>
      </c>
      <c r="AO404" t="str" cm="1">
        <f t="array" ref="AO404">_xlfn.IFS(S404&lt;5000,"Low",
S404&lt;=15000,"Medium",
TRUE,"High")</f>
        <v>Medium</v>
      </c>
    </row>
    <row r="405" spans="1:41" hidden="1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 t="str">
        <f t="shared" si="18"/>
        <v>Active</v>
      </c>
      <c r="AK405">
        <f t="shared" ca="1" si="19"/>
        <v>2015</v>
      </c>
      <c r="AL405">
        <f t="shared" si="20"/>
        <v>0</v>
      </c>
      <c r="AM405" t="e" cm="1">
        <f t="array" aca="1" ref="AM405" ca="1">IF(B405="Yes",YEAR(TODAY()),BLANK())</f>
        <v>#NAME?</v>
      </c>
      <c r="AN405" t="str" cm="1">
        <f t="array" ref="AN405" xml:space="preserve"> _xlfn.IFS(A405&lt;25,"&lt;25",
A405&lt;=35,"25-35",
A405&lt;=45,"36-45",
TRUE,"45+"
)</f>
        <v>36-45</v>
      </c>
      <c r="AO405" t="str" cm="1">
        <f t="array" ref="AO405">_xlfn.IFS(S405&lt;5000,"Low",
S405&lt;=15000,"Medium",
TRUE,"High")</f>
        <v>Medium</v>
      </c>
    </row>
    <row r="406" spans="1:41" hidden="1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 t="str">
        <f t="shared" si="18"/>
        <v>Active</v>
      </c>
      <c r="AK406">
        <f t="shared" ca="1" si="19"/>
        <v>2015</v>
      </c>
      <c r="AL406">
        <f t="shared" si="20"/>
        <v>0</v>
      </c>
      <c r="AM406" t="e" cm="1">
        <f t="array" aca="1" ref="AM406" ca="1">IF(B406="Yes",YEAR(TODAY()),BLANK())</f>
        <v>#NAME?</v>
      </c>
      <c r="AN406" t="str" cm="1">
        <f t="array" ref="AN406" xml:space="preserve"> _xlfn.IFS(A406&lt;25,"&lt;25",
A406&lt;=35,"25-35",
A406&lt;=45,"36-45",
TRUE,"45+"
)</f>
        <v>25-35</v>
      </c>
      <c r="AO406" t="str" cm="1">
        <f t="array" ref="AO406">_xlfn.IFS(S406&lt;5000,"Low",
S406&lt;=15000,"Medium",
TRUE,"High")</f>
        <v>Low</v>
      </c>
    </row>
    <row r="407" spans="1:41" hidden="1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 t="str">
        <f t="shared" si="18"/>
        <v>Resigned</v>
      </c>
      <c r="AK407">
        <f t="shared" ca="1" si="19"/>
        <v>2019</v>
      </c>
      <c r="AL407">
        <f t="shared" si="20"/>
        <v>1</v>
      </c>
      <c r="AM407" cm="1">
        <f t="array" aca="1" ref="AM407" ca="1">IF(B407="Yes",YEAR(TODAY()),BLANK())</f>
        <v>2025</v>
      </c>
      <c r="AN407" t="str" cm="1">
        <f t="array" ref="AN407" xml:space="preserve"> _xlfn.IFS(A407&lt;25,"&lt;25",
A407&lt;=35,"25-35",
A407&lt;=45,"36-45",
TRUE,"45+"
)</f>
        <v>25-35</v>
      </c>
      <c r="AO407" t="str" cm="1">
        <f t="array" ref="AO407">_xlfn.IFS(S407&lt;5000,"Low",
S407&lt;=15000,"Medium",
TRUE,"High")</f>
        <v>Low</v>
      </c>
    </row>
    <row r="408" spans="1:41" hidden="1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 t="str">
        <f t="shared" si="18"/>
        <v>Active</v>
      </c>
      <c r="AK408">
        <f t="shared" ca="1" si="19"/>
        <v>1997</v>
      </c>
      <c r="AL408">
        <f t="shared" si="20"/>
        <v>0</v>
      </c>
      <c r="AM408" t="e" cm="1">
        <f t="array" aca="1" ref="AM408" ca="1">IF(B408="Yes",YEAR(TODAY()),BLANK())</f>
        <v>#NAME?</v>
      </c>
      <c r="AN408" t="str" cm="1">
        <f t="array" ref="AN408" xml:space="preserve"> _xlfn.IFS(A408&lt;25,"&lt;25",
A408&lt;=35,"25-35",
A408&lt;=45,"36-45",
TRUE,"45+"
)</f>
        <v>45+</v>
      </c>
      <c r="AO408" t="str" cm="1">
        <f t="array" ref="AO408">_xlfn.IFS(S408&lt;5000,"Low",
S408&lt;=15000,"Medium",
TRUE,"High")</f>
        <v>Medium</v>
      </c>
    </row>
    <row r="409" spans="1:41" hidden="1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 t="str">
        <f t="shared" si="18"/>
        <v>Active</v>
      </c>
      <c r="AK409">
        <f t="shared" ca="1" si="19"/>
        <v>2017</v>
      </c>
      <c r="AL409">
        <f t="shared" si="20"/>
        <v>0</v>
      </c>
      <c r="AM409" t="e" cm="1">
        <f t="array" aca="1" ref="AM409" ca="1">IF(B409="Yes",YEAR(TODAY()),BLANK())</f>
        <v>#NAME?</v>
      </c>
      <c r="AN409" t="str" cm="1">
        <f t="array" ref="AN409" xml:space="preserve"> _xlfn.IFS(A409&lt;25,"&lt;25",
A409&lt;=35,"25-35",
A409&lt;=45,"36-45",
TRUE,"45+"
)</f>
        <v>36-45</v>
      </c>
      <c r="AO409" t="str" cm="1">
        <f t="array" ref="AO409">_xlfn.IFS(S409&lt;5000,"Low",
S409&lt;=15000,"Medium",
TRUE,"High")</f>
        <v>Low</v>
      </c>
    </row>
    <row r="410" spans="1:41" hidden="1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 t="str">
        <f t="shared" si="18"/>
        <v>Active</v>
      </c>
      <c r="AK410">
        <f t="shared" ca="1" si="19"/>
        <v>1994</v>
      </c>
      <c r="AL410">
        <f t="shared" si="20"/>
        <v>0</v>
      </c>
      <c r="AM410" t="e" cm="1">
        <f t="array" aca="1" ref="AM410" ca="1">IF(B410="Yes",YEAR(TODAY()),BLANK())</f>
        <v>#NAME?</v>
      </c>
      <c r="AN410" t="str" cm="1">
        <f t="array" ref="AN410" xml:space="preserve"> _xlfn.IFS(A410&lt;25,"&lt;25",
A410&lt;=35,"25-35",
A410&lt;=45,"36-45",
TRUE,"45+"
)</f>
        <v>45+</v>
      </c>
      <c r="AO410" t="str" cm="1">
        <f t="array" ref="AO410">_xlfn.IFS(S410&lt;5000,"Low",
S410&lt;=15000,"Medium",
TRUE,"High")</f>
        <v>High</v>
      </c>
    </row>
    <row r="411" spans="1:41" hidden="1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 t="str">
        <f t="shared" si="18"/>
        <v>Active</v>
      </c>
      <c r="AK411">
        <f t="shared" ca="1" si="19"/>
        <v>2006</v>
      </c>
      <c r="AL411">
        <f t="shared" si="20"/>
        <v>0</v>
      </c>
      <c r="AM411" t="e" cm="1">
        <f t="array" aca="1" ref="AM411" ca="1">IF(B411="Yes",YEAR(TODAY()),BLANK())</f>
        <v>#NAME?</v>
      </c>
      <c r="AN411" t="str" cm="1">
        <f t="array" ref="AN411" xml:space="preserve"> _xlfn.IFS(A411&lt;25,"&lt;25",
A411&lt;=35,"25-35",
A411&lt;=45,"36-45",
TRUE,"45+"
)</f>
        <v>36-45</v>
      </c>
      <c r="AO411" t="str" cm="1">
        <f t="array" ref="AO411">_xlfn.IFS(S411&lt;5000,"Low",
S411&lt;=15000,"Medium",
TRUE,"High")</f>
        <v>Low</v>
      </c>
    </row>
    <row r="412" spans="1:41" hidden="1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 t="str">
        <f t="shared" si="18"/>
        <v>Active</v>
      </c>
      <c r="AK412">
        <f t="shared" ca="1" si="19"/>
        <v>2014</v>
      </c>
      <c r="AL412">
        <f t="shared" si="20"/>
        <v>0</v>
      </c>
      <c r="AM412" t="e" cm="1">
        <f t="array" aca="1" ref="AM412" ca="1">IF(B412="Yes",YEAR(TODAY()),BLANK())</f>
        <v>#NAME?</v>
      </c>
      <c r="AN412" t="str" cm="1">
        <f t="array" ref="AN412" xml:space="preserve"> _xlfn.IFS(A412&lt;25,"&lt;25",
A412&lt;=35,"25-35",
A412&lt;=45,"36-45",
TRUE,"45+"
)</f>
        <v>25-35</v>
      </c>
      <c r="AO412" t="str" cm="1">
        <f t="array" ref="AO412">_xlfn.IFS(S412&lt;5000,"Low",
S412&lt;=15000,"Medium",
TRUE,"High")</f>
        <v>Medium</v>
      </c>
    </row>
    <row r="413" spans="1:41" hidden="1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 t="str">
        <f t="shared" si="18"/>
        <v>Active</v>
      </c>
      <c r="AK413">
        <f t="shared" ca="1" si="19"/>
        <v>1992</v>
      </c>
      <c r="AL413">
        <f t="shared" si="20"/>
        <v>0</v>
      </c>
      <c r="AM413" t="e" cm="1">
        <f t="array" aca="1" ref="AM413" ca="1">IF(B413="Yes",YEAR(TODAY()),BLANK())</f>
        <v>#NAME?</v>
      </c>
      <c r="AN413" t="str" cm="1">
        <f t="array" ref="AN413" xml:space="preserve"> _xlfn.IFS(A413&lt;25,"&lt;25",
A413&lt;=35,"25-35",
A413&lt;=45,"36-45",
TRUE,"45+"
)</f>
        <v>45+</v>
      </c>
      <c r="AO413" t="str" cm="1">
        <f t="array" ref="AO413">_xlfn.IFS(S413&lt;5000,"Low",
S413&lt;=15000,"Medium",
TRUE,"High")</f>
        <v>High</v>
      </c>
    </row>
    <row r="414" spans="1:41" hidden="1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 t="str">
        <f t="shared" si="18"/>
        <v>Active</v>
      </c>
      <c r="AK414">
        <f t="shared" ca="1" si="19"/>
        <v>2006</v>
      </c>
      <c r="AL414">
        <f t="shared" si="20"/>
        <v>0</v>
      </c>
      <c r="AM414" t="e" cm="1">
        <f t="array" aca="1" ref="AM414" ca="1">IF(B414="Yes",YEAR(TODAY()),BLANK())</f>
        <v>#NAME?</v>
      </c>
      <c r="AN414" t="str" cm="1">
        <f t="array" ref="AN414" xml:space="preserve"> _xlfn.IFS(A414&lt;25,"&lt;25",
A414&lt;=35,"25-35",
A414&lt;=45,"36-45",
TRUE,"45+"
)</f>
        <v>45+</v>
      </c>
      <c r="AO414" t="str" cm="1">
        <f t="array" ref="AO414">_xlfn.IFS(S414&lt;5000,"Low",
S414&lt;=15000,"Medium",
TRUE,"High")</f>
        <v>Low</v>
      </c>
    </row>
    <row r="415" spans="1:41" hidden="1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 t="str">
        <f t="shared" si="18"/>
        <v>Active</v>
      </c>
      <c r="AK415">
        <f t="shared" ca="1" si="19"/>
        <v>2018</v>
      </c>
      <c r="AL415">
        <f t="shared" si="20"/>
        <v>0</v>
      </c>
      <c r="AM415" t="e" cm="1">
        <f t="array" aca="1" ref="AM415" ca="1">IF(B415="Yes",YEAR(TODAY()),BLANK())</f>
        <v>#NAME?</v>
      </c>
      <c r="AN415" t="str" cm="1">
        <f t="array" ref="AN415" xml:space="preserve"> _xlfn.IFS(A415&lt;25,"&lt;25",
A415&lt;=35,"25-35",
A415&lt;=45,"36-45",
TRUE,"45+"
)</f>
        <v>36-45</v>
      </c>
      <c r="AO415" t="str" cm="1">
        <f t="array" ref="AO415">_xlfn.IFS(S415&lt;5000,"Low",
S415&lt;=15000,"Medium",
TRUE,"High")</f>
        <v>Low</v>
      </c>
    </row>
    <row r="416" spans="1:41" hidden="1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 t="str">
        <f t="shared" si="18"/>
        <v>Resigned</v>
      </c>
      <c r="AK416">
        <f t="shared" ca="1" si="19"/>
        <v>2019</v>
      </c>
      <c r="AL416">
        <f t="shared" si="20"/>
        <v>1</v>
      </c>
      <c r="AM416" cm="1">
        <f t="array" aca="1" ref="AM416" ca="1">IF(B416="Yes",YEAR(TODAY()),BLANK())</f>
        <v>2025</v>
      </c>
      <c r="AN416" t="str" cm="1">
        <f t="array" ref="AN416" xml:space="preserve"> _xlfn.IFS(A416&lt;25,"&lt;25",
A416&lt;=35,"25-35",
A416&lt;=45,"36-45",
TRUE,"45+"
)</f>
        <v>&lt;25</v>
      </c>
      <c r="AO416" t="str" cm="1">
        <f t="array" ref="AO416">_xlfn.IFS(S416&lt;5000,"Low",
S416&lt;=15000,"Medium",
TRUE,"High")</f>
        <v>Low</v>
      </c>
    </row>
    <row r="417" spans="1:41" hidden="1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 t="str">
        <f t="shared" si="18"/>
        <v>Resigned</v>
      </c>
      <c r="AK417">
        <f t="shared" ca="1" si="19"/>
        <v>2022</v>
      </c>
      <c r="AL417">
        <f t="shared" si="20"/>
        <v>1</v>
      </c>
      <c r="AM417" cm="1">
        <f t="array" aca="1" ref="AM417" ca="1">IF(B417="Yes",YEAR(TODAY()),BLANK())</f>
        <v>2025</v>
      </c>
      <c r="AN417" t="str" cm="1">
        <f t="array" ref="AN417" xml:space="preserve"> _xlfn.IFS(A417&lt;25,"&lt;25",
A417&lt;=35,"25-35",
A417&lt;=45,"36-45",
TRUE,"45+"
)</f>
        <v>25-35</v>
      </c>
      <c r="AO417" t="str" cm="1">
        <f t="array" ref="AO417">_xlfn.IFS(S417&lt;5000,"Low",
S417&lt;=15000,"Medium",
TRUE,"High")</f>
        <v>Low</v>
      </c>
    </row>
    <row r="418" spans="1:41" hidden="1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 t="str">
        <f t="shared" si="18"/>
        <v>Active</v>
      </c>
      <c r="AK418">
        <f t="shared" ca="1" si="19"/>
        <v>2024</v>
      </c>
      <c r="AL418">
        <f t="shared" si="20"/>
        <v>0</v>
      </c>
      <c r="AM418" t="e" cm="1">
        <f t="array" aca="1" ref="AM418" ca="1">IF(B418="Yes",YEAR(TODAY()),BLANK())</f>
        <v>#NAME?</v>
      </c>
      <c r="AN418" t="str" cm="1">
        <f t="array" ref="AN418" xml:space="preserve"> _xlfn.IFS(A418&lt;25,"&lt;25",
A418&lt;=35,"25-35",
A418&lt;=45,"36-45",
TRUE,"45+"
)</f>
        <v>36-45</v>
      </c>
      <c r="AO418" t="str" cm="1">
        <f t="array" ref="AO418">_xlfn.IFS(S418&lt;5000,"Low",
S418&lt;=15000,"Medium",
TRUE,"High")</f>
        <v>Low</v>
      </c>
    </row>
    <row r="419" spans="1:41" hidden="1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 t="str">
        <f t="shared" si="18"/>
        <v>Active</v>
      </c>
      <c r="AK419">
        <f t="shared" ca="1" si="19"/>
        <v>2004</v>
      </c>
      <c r="AL419">
        <f t="shared" si="20"/>
        <v>0</v>
      </c>
      <c r="AM419" t="e" cm="1">
        <f t="array" aca="1" ref="AM419" ca="1">IF(B419="Yes",YEAR(TODAY()),BLANK())</f>
        <v>#NAME?</v>
      </c>
      <c r="AN419" t="str" cm="1">
        <f t="array" ref="AN419" xml:space="preserve"> _xlfn.IFS(A419&lt;25,"&lt;25",
A419&lt;=35,"25-35",
A419&lt;=45,"36-45",
TRUE,"45+"
)</f>
        <v>36-45</v>
      </c>
      <c r="AO419" t="str" cm="1">
        <f t="array" ref="AO419">_xlfn.IFS(S419&lt;5000,"Low",
S419&lt;=15000,"Medium",
TRUE,"High")</f>
        <v>High</v>
      </c>
    </row>
    <row r="420" spans="1:41" hidden="1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 t="str">
        <f t="shared" si="18"/>
        <v>Active</v>
      </c>
      <c r="AK420">
        <f t="shared" ca="1" si="19"/>
        <v>2022</v>
      </c>
      <c r="AL420">
        <f t="shared" si="20"/>
        <v>0</v>
      </c>
      <c r="AM420" t="e" cm="1">
        <f t="array" aca="1" ref="AM420" ca="1">IF(B420="Yes",YEAR(TODAY()),BLANK())</f>
        <v>#NAME?</v>
      </c>
      <c r="AN420" t="str" cm="1">
        <f t="array" ref="AN420" xml:space="preserve"> _xlfn.IFS(A420&lt;25,"&lt;25",
A420&lt;=35,"25-35",
A420&lt;=45,"36-45",
TRUE,"45+"
)</f>
        <v>25-35</v>
      </c>
      <c r="AO420" t="str" cm="1">
        <f t="array" ref="AO420">_xlfn.IFS(S420&lt;5000,"Low",
S420&lt;=15000,"Medium",
TRUE,"High")</f>
        <v>Low</v>
      </c>
    </row>
    <row r="421" spans="1:41" hidden="1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 t="str">
        <f t="shared" si="18"/>
        <v>Active</v>
      </c>
      <c r="AK421">
        <f t="shared" ca="1" si="19"/>
        <v>2016</v>
      </c>
      <c r="AL421">
        <f t="shared" si="20"/>
        <v>0</v>
      </c>
      <c r="AM421" t="e" cm="1">
        <f t="array" aca="1" ref="AM421" ca="1">IF(B421="Yes",YEAR(TODAY()),BLANK())</f>
        <v>#NAME?</v>
      </c>
      <c r="AN421" t="str" cm="1">
        <f t="array" ref="AN421" xml:space="preserve"> _xlfn.IFS(A421&lt;25,"&lt;25",
A421&lt;=35,"25-35",
A421&lt;=45,"36-45",
TRUE,"45+"
)</f>
        <v>25-35</v>
      </c>
      <c r="AO421" t="str" cm="1">
        <f t="array" ref="AO421">_xlfn.IFS(S421&lt;5000,"Low",
S421&lt;=15000,"Medium",
TRUE,"High")</f>
        <v>Low</v>
      </c>
    </row>
    <row r="422" spans="1:41" hidden="1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 t="str">
        <f t="shared" si="18"/>
        <v>Active</v>
      </c>
      <c r="AK422">
        <f t="shared" ca="1" si="19"/>
        <v>2015</v>
      </c>
      <c r="AL422">
        <f t="shared" si="20"/>
        <v>0</v>
      </c>
      <c r="AM422" t="e" cm="1">
        <f t="array" aca="1" ref="AM422" ca="1">IF(B422="Yes",YEAR(TODAY()),BLANK())</f>
        <v>#NAME?</v>
      </c>
      <c r="AN422" t="str" cm="1">
        <f t="array" ref="AN422" xml:space="preserve"> _xlfn.IFS(A422&lt;25,"&lt;25",
A422&lt;=35,"25-35",
A422&lt;=45,"36-45",
TRUE,"45+"
)</f>
        <v>25-35</v>
      </c>
      <c r="AO422" t="str" cm="1">
        <f t="array" ref="AO422">_xlfn.IFS(S422&lt;5000,"Low",
S422&lt;=15000,"Medium",
TRUE,"High")</f>
        <v>Medium</v>
      </c>
    </row>
    <row r="423" spans="1:41" hidden="1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 t="str">
        <f t="shared" si="18"/>
        <v>Resigned</v>
      </c>
      <c r="AK423">
        <f t="shared" ca="1" si="19"/>
        <v>2019</v>
      </c>
      <c r="AL423">
        <f t="shared" si="20"/>
        <v>1</v>
      </c>
      <c r="AM423" cm="1">
        <f t="array" aca="1" ref="AM423" ca="1">IF(B423="Yes",YEAR(TODAY()),BLANK())</f>
        <v>2025</v>
      </c>
      <c r="AN423" t="str" cm="1">
        <f t="array" ref="AN423" xml:space="preserve"> _xlfn.IFS(A423&lt;25,"&lt;25",
A423&lt;=35,"25-35",
A423&lt;=45,"36-45",
TRUE,"45+"
)</f>
        <v>25-35</v>
      </c>
      <c r="AO423" t="str" cm="1">
        <f t="array" ref="AO423">_xlfn.IFS(S423&lt;5000,"Low",
S423&lt;=15000,"Medium",
TRUE,"High")</f>
        <v>Low</v>
      </c>
    </row>
    <row r="424" spans="1:41" hidden="1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 t="str">
        <f t="shared" si="18"/>
        <v>Resigned</v>
      </c>
      <c r="AK424">
        <f t="shared" ca="1" si="19"/>
        <v>2024</v>
      </c>
      <c r="AL424">
        <f t="shared" si="20"/>
        <v>1</v>
      </c>
      <c r="AM424" cm="1">
        <f t="array" aca="1" ref="AM424" ca="1">IF(B424="Yes",YEAR(TODAY()),BLANK())</f>
        <v>2025</v>
      </c>
      <c r="AN424" t="str" cm="1">
        <f t="array" ref="AN424" xml:space="preserve"> _xlfn.IFS(A424&lt;25,"&lt;25",
A424&lt;=35,"25-35",
A424&lt;=45,"36-45",
TRUE,"45+"
)</f>
        <v>&lt;25</v>
      </c>
      <c r="AO424" t="str" cm="1">
        <f t="array" ref="AO424">_xlfn.IFS(S424&lt;5000,"Low",
S424&lt;=15000,"Medium",
TRUE,"High")</f>
        <v>Low</v>
      </c>
    </row>
    <row r="425" spans="1:41" hidden="1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 t="str">
        <f t="shared" si="18"/>
        <v>Active</v>
      </c>
      <c r="AK425">
        <f t="shared" ca="1" si="19"/>
        <v>2015</v>
      </c>
      <c r="AL425">
        <f t="shared" si="20"/>
        <v>0</v>
      </c>
      <c r="AM425" t="e" cm="1">
        <f t="array" aca="1" ref="AM425" ca="1">IF(B425="Yes",YEAR(TODAY()),BLANK())</f>
        <v>#NAME?</v>
      </c>
      <c r="AN425" t="str" cm="1">
        <f t="array" ref="AN425" xml:space="preserve"> _xlfn.IFS(A425&lt;25,"&lt;25",
A425&lt;=35,"25-35",
A425&lt;=45,"36-45",
TRUE,"45+"
)</f>
        <v>25-35</v>
      </c>
      <c r="AO425" t="str" cm="1">
        <f t="array" ref="AO425">_xlfn.IFS(S425&lt;5000,"Low",
S425&lt;=15000,"Medium",
TRUE,"High")</f>
        <v>Medium</v>
      </c>
    </row>
    <row r="426" spans="1:41" hidden="1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 t="str">
        <f t="shared" si="18"/>
        <v>Active</v>
      </c>
      <c r="AK426">
        <f t="shared" ca="1" si="19"/>
        <v>1993</v>
      </c>
      <c r="AL426">
        <f t="shared" si="20"/>
        <v>0</v>
      </c>
      <c r="AM426" t="e" cm="1">
        <f t="array" aca="1" ref="AM426" ca="1">IF(B426="Yes",YEAR(TODAY()),BLANK())</f>
        <v>#NAME?</v>
      </c>
      <c r="AN426" t="str" cm="1">
        <f t="array" ref="AN426" xml:space="preserve"> _xlfn.IFS(A426&lt;25,"&lt;25",
A426&lt;=35,"25-35",
A426&lt;=45,"36-45",
TRUE,"45+"
)</f>
        <v>45+</v>
      </c>
      <c r="AO426" t="str" cm="1">
        <f t="array" ref="AO426">_xlfn.IFS(S426&lt;5000,"Low",
S426&lt;=15000,"Medium",
TRUE,"High")</f>
        <v>Medium</v>
      </c>
    </row>
    <row r="427" spans="1:41" hidden="1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 t="str">
        <f t="shared" si="18"/>
        <v>Active</v>
      </c>
      <c r="AK427">
        <f t="shared" ca="1" si="19"/>
        <v>1997</v>
      </c>
      <c r="AL427">
        <f t="shared" si="20"/>
        <v>0</v>
      </c>
      <c r="AM427" t="e" cm="1">
        <f t="array" aca="1" ref="AM427" ca="1">IF(B427="Yes",YEAR(TODAY()),BLANK())</f>
        <v>#NAME?</v>
      </c>
      <c r="AN427" t="str" cm="1">
        <f t="array" ref="AN427" xml:space="preserve"> _xlfn.IFS(A427&lt;25,"&lt;25",
A427&lt;=35,"25-35",
A427&lt;=45,"36-45",
TRUE,"45+"
)</f>
        <v>45+</v>
      </c>
      <c r="AO427" t="str" cm="1">
        <f t="array" ref="AO427">_xlfn.IFS(S427&lt;5000,"Low",
S427&lt;=15000,"Medium",
TRUE,"High")</f>
        <v>High</v>
      </c>
    </row>
    <row r="428" spans="1:41" hidden="1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 t="str">
        <f t="shared" si="18"/>
        <v>Active</v>
      </c>
      <c r="AK428">
        <f t="shared" ca="1" si="19"/>
        <v>2013</v>
      </c>
      <c r="AL428">
        <f t="shared" si="20"/>
        <v>0</v>
      </c>
      <c r="AM428" t="e" cm="1">
        <f t="array" aca="1" ref="AM428" ca="1">IF(B428="Yes",YEAR(TODAY()),BLANK())</f>
        <v>#NAME?</v>
      </c>
      <c r="AN428" t="str" cm="1">
        <f t="array" ref="AN428" xml:space="preserve"> _xlfn.IFS(A428&lt;25,"&lt;25",
A428&lt;=35,"25-35",
A428&lt;=45,"36-45",
TRUE,"45+"
)</f>
        <v>25-35</v>
      </c>
      <c r="AO428" t="str" cm="1">
        <f t="array" ref="AO428">_xlfn.IFS(S428&lt;5000,"Low",
S428&lt;=15000,"Medium",
TRUE,"High")</f>
        <v>Low</v>
      </c>
    </row>
    <row r="429" spans="1:41" hidden="1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 t="str">
        <f t="shared" si="18"/>
        <v>Active</v>
      </c>
      <c r="AK429">
        <f t="shared" ca="1" si="19"/>
        <v>2003</v>
      </c>
      <c r="AL429">
        <f t="shared" si="20"/>
        <v>0</v>
      </c>
      <c r="AM429" t="e" cm="1">
        <f t="array" aca="1" ref="AM429" ca="1">IF(B429="Yes",YEAR(TODAY()),BLANK())</f>
        <v>#NAME?</v>
      </c>
      <c r="AN429" t="str" cm="1">
        <f t="array" ref="AN429" xml:space="preserve"> _xlfn.IFS(A429&lt;25,"&lt;25",
A429&lt;=35,"25-35",
A429&lt;=45,"36-45",
TRUE,"45+"
)</f>
        <v>45+</v>
      </c>
      <c r="AO429" t="str" cm="1">
        <f t="array" ref="AO429">_xlfn.IFS(S429&lt;5000,"Low",
S429&lt;=15000,"Medium",
TRUE,"High")</f>
        <v>Medium</v>
      </c>
    </row>
    <row r="430" spans="1:41" hidden="1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 t="str">
        <f t="shared" si="18"/>
        <v>Active</v>
      </c>
      <c r="AK430">
        <f t="shared" ca="1" si="19"/>
        <v>2005</v>
      </c>
      <c r="AL430">
        <f t="shared" si="20"/>
        <v>0</v>
      </c>
      <c r="AM430" t="e" cm="1">
        <f t="array" aca="1" ref="AM430" ca="1">IF(B430="Yes",YEAR(TODAY()),BLANK())</f>
        <v>#NAME?</v>
      </c>
      <c r="AN430" t="str" cm="1">
        <f t="array" ref="AN430" xml:space="preserve"> _xlfn.IFS(A430&lt;25,"&lt;25",
A430&lt;=35,"25-35",
A430&lt;=45,"36-45",
TRUE,"45+"
)</f>
        <v>45+</v>
      </c>
      <c r="AO430" t="str" cm="1">
        <f t="array" ref="AO430">_xlfn.IFS(S430&lt;5000,"Low",
S430&lt;=15000,"Medium",
TRUE,"High")</f>
        <v>Medium</v>
      </c>
    </row>
    <row r="431" spans="1:41" hidden="1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 t="str">
        <f t="shared" si="18"/>
        <v>Active</v>
      </c>
      <c r="AK431">
        <f t="shared" ca="1" si="19"/>
        <v>1999</v>
      </c>
      <c r="AL431">
        <f t="shared" si="20"/>
        <v>0</v>
      </c>
      <c r="AM431" t="e" cm="1">
        <f t="array" aca="1" ref="AM431" ca="1">IF(B431="Yes",YEAR(TODAY()),BLANK())</f>
        <v>#NAME?</v>
      </c>
      <c r="AN431" t="str" cm="1">
        <f t="array" ref="AN431" xml:space="preserve"> _xlfn.IFS(A431&lt;25,"&lt;25",
A431&lt;=35,"25-35",
A431&lt;=45,"36-45",
TRUE,"45+"
)</f>
        <v>45+</v>
      </c>
      <c r="AO431" t="str" cm="1">
        <f t="array" ref="AO431">_xlfn.IFS(S431&lt;5000,"Low",
S431&lt;=15000,"Medium",
TRUE,"High")</f>
        <v>High</v>
      </c>
    </row>
    <row r="432" spans="1:41" hidden="1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 t="str">
        <f t="shared" si="18"/>
        <v>Active</v>
      </c>
      <c r="AK432">
        <f t="shared" ca="1" si="19"/>
        <v>2019</v>
      </c>
      <c r="AL432">
        <f t="shared" si="20"/>
        <v>0</v>
      </c>
      <c r="AM432" t="e" cm="1">
        <f t="array" aca="1" ref="AM432" ca="1">IF(B432="Yes",YEAR(TODAY()),BLANK())</f>
        <v>#NAME?</v>
      </c>
      <c r="AN432" t="str" cm="1">
        <f t="array" ref="AN432" xml:space="preserve"> _xlfn.IFS(A432&lt;25,"&lt;25",
A432&lt;=35,"25-35",
A432&lt;=45,"36-45",
TRUE,"45+"
)</f>
        <v>25-35</v>
      </c>
      <c r="AO432" t="str" cm="1">
        <f t="array" ref="AO432">_xlfn.IFS(S432&lt;5000,"Low",
S432&lt;=15000,"Medium",
TRUE,"High")</f>
        <v>Low</v>
      </c>
    </row>
    <row r="433" spans="1:41" hidden="1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 t="str">
        <f t="shared" si="18"/>
        <v>Active</v>
      </c>
      <c r="AK433">
        <f t="shared" ca="1" si="19"/>
        <v>2006</v>
      </c>
      <c r="AL433">
        <f t="shared" si="20"/>
        <v>0</v>
      </c>
      <c r="AM433" t="e" cm="1">
        <f t="array" aca="1" ref="AM433" ca="1">IF(B433="Yes",YEAR(TODAY()),BLANK())</f>
        <v>#NAME?</v>
      </c>
      <c r="AN433" t="str" cm="1">
        <f t="array" ref="AN433" xml:space="preserve"> _xlfn.IFS(A433&lt;25,"&lt;25",
A433&lt;=35,"25-35",
A433&lt;=45,"36-45",
TRUE,"45+"
)</f>
        <v>45+</v>
      </c>
      <c r="AO433" t="str" cm="1">
        <f t="array" ref="AO433">_xlfn.IFS(S433&lt;5000,"Low",
S433&lt;=15000,"Medium",
TRUE,"High")</f>
        <v>Low</v>
      </c>
    </row>
    <row r="434" spans="1:41" hidden="1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 t="str">
        <f t="shared" si="18"/>
        <v>Active</v>
      </c>
      <c r="AK434">
        <f t="shared" ca="1" si="19"/>
        <v>2011</v>
      </c>
      <c r="AL434">
        <f t="shared" si="20"/>
        <v>0</v>
      </c>
      <c r="AM434" t="e" cm="1">
        <f t="array" aca="1" ref="AM434" ca="1">IF(B434="Yes",YEAR(TODAY()),BLANK())</f>
        <v>#NAME?</v>
      </c>
      <c r="AN434" t="str" cm="1">
        <f t="array" ref="AN434" xml:space="preserve"> _xlfn.IFS(A434&lt;25,"&lt;25",
A434&lt;=35,"25-35",
A434&lt;=45,"36-45",
TRUE,"45+"
)</f>
        <v>25-35</v>
      </c>
      <c r="AO434" t="str" cm="1">
        <f t="array" ref="AO434">_xlfn.IFS(S434&lt;5000,"Low",
S434&lt;=15000,"Medium",
TRUE,"High")</f>
        <v>Low</v>
      </c>
    </row>
    <row r="435" spans="1:41" hidden="1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 t="str">
        <f t="shared" si="18"/>
        <v>Active</v>
      </c>
      <c r="AK435">
        <f t="shared" ca="1" si="19"/>
        <v>2010</v>
      </c>
      <c r="AL435">
        <f t="shared" si="20"/>
        <v>0</v>
      </c>
      <c r="AM435" t="e" cm="1">
        <f t="array" aca="1" ref="AM435" ca="1">IF(B435="Yes",YEAR(TODAY()),BLANK())</f>
        <v>#NAME?</v>
      </c>
      <c r="AN435" t="str" cm="1">
        <f t="array" ref="AN435" xml:space="preserve"> _xlfn.IFS(A435&lt;25,"&lt;25",
A435&lt;=35,"25-35",
A435&lt;=45,"36-45",
TRUE,"45+"
)</f>
        <v>45+</v>
      </c>
      <c r="AO435" t="str" cm="1">
        <f t="array" ref="AO435">_xlfn.IFS(S435&lt;5000,"Low",
S435&lt;=15000,"Medium",
TRUE,"High")</f>
        <v>Medium</v>
      </c>
    </row>
    <row r="436" spans="1:41" hidden="1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 t="str">
        <f t="shared" si="18"/>
        <v>Active</v>
      </c>
      <c r="AK436">
        <f t="shared" ca="1" si="19"/>
        <v>2012</v>
      </c>
      <c r="AL436">
        <f t="shared" si="20"/>
        <v>0</v>
      </c>
      <c r="AM436" t="e" cm="1">
        <f t="array" aca="1" ref="AM436" ca="1">IF(B436="Yes",YEAR(TODAY()),BLANK())</f>
        <v>#NAME?</v>
      </c>
      <c r="AN436" t="str" cm="1">
        <f t="array" ref="AN436" xml:space="preserve"> _xlfn.IFS(A436&lt;25,"&lt;25",
A436&lt;=35,"25-35",
A436&lt;=45,"36-45",
TRUE,"45+"
)</f>
        <v>25-35</v>
      </c>
      <c r="AO436" t="str" cm="1">
        <f t="array" ref="AO436">_xlfn.IFS(S436&lt;5000,"Low",
S436&lt;=15000,"Medium",
TRUE,"High")</f>
        <v>Medium</v>
      </c>
    </row>
    <row r="437" spans="1:41" hidden="1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 t="str">
        <f t="shared" si="18"/>
        <v>Resigned</v>
      </c>
      <c r="AK437">
        <f t="shared" ca="1" si="19"/>
        <v>2010</v>
      </c>
      <c r="AL437">
        <f t="shared" si="20"/>
        <v>1</v>
      </c>
      <c r="AM437" cm="1">
        <f t="array" aca="1" ref="AM437" ca="1">IF(B437="Yes",YEAR(TODAY()),BLANK())</f>
        <v>2025</v>
      </c>
      <c r="AN437" t="str" cm="1">
        <f t="array" ref="AN437" xml:space="preserve"> _xlfn.IFS(A437&lt;25,"&lt;25",
A437&lt;=35,"25-35",
A437&lt;=45,"36-45",
TRUE,"45+"
)</f>
        <v>25-35</v>
      </c>
      <c r="AO437" t="str" cm="1">
        <f t="array" ref="AO437">_xlfn.IFS(S437&lt;5000,"Low",
S437&lt;=15000,"Medium",
TRUE,"High")</f>
        <v>Medium</v>
      </c>
    </row>
    <row r="438" spans="1:41" hidden="1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 t="str">
        <f t="shared" si="18"/>
        <v>Resigned</v>
      </c>
      <c r="AK438">
        <f t="shared" ca="1" si="19"/>
        <v>2017</v>
      </c>
      <c r="AL438">
        <f t="shared" si="20"/>
        <v>1</v>
      </c>
      <c r="AM438" cm="1">
        <f t="array" aca="1" ref="AM438" ca="1">IF(B438="Yes",YEAR(TODAY()),BLANK())</f>
        <v>2025</v>
      </c>
      <c r="AN438" t="str" cm="1">
        <f t="array" ref="AN438" xml:space="preserve"> _xlfn.IFS(A438&lt;25,"&lt;25",
A438&lt;=35,"25-35",
A438&lt;=45,"36-45",
TRUE,"45+"
)</f>
        <v>25-35</v>
      </c>
      <c r="AO438" t="str" cm="1">
        <f t="array" ref="AO438">_xlfn.IFS(S438&lt;5000,"Low",
S438&lt;=15000,"Medium",
TRUE,"High")</f>
        <v>Low</v>
      </c>
    </row>
    <row r="439" spans="1:41" hidden="1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 t="str">
        <f t="shared" si="18"/>
        <v>Active</v>
      </c>
      <c r="AK439">
        <f t="shared" ca="1" si="19"/>
        <v>2021</v>
      </c>
      <c r="AL439">
        <f t="shared" si="20"/>
        <v>0</v>
      </c>
      <c r="AM439" t="e" cm="1">
        <f t="array" aca="1" ref="AM439" ca="1">IF(B439="Yes",YEAR(TODAY()),BLANK())</f>
        <v>#NAME?</v>
      </c>
      <c r="AN439" t="str" cm="1">
        <f t="array" ref="AN439" xml:space="preserve"> _xlfn.IFS(A439&lt;25,"&lt;25",
A439&lt;=35,"25-35",
A439&lt;=45,"36-45",
TRUE,"45+"
)</f>
        <v>25-35</v>
      </c>
      <c r="AO439" t="str" cm="1">
        <f t="array" ref="AO439">_xlfn.IFS(S439&lt;5000,"Low",
S439&lt;=15000,"Medium",
TRUE,"High")</f>
        <v>Low</v>
      </c>
    </row>
    <row r="440" spans="1:41" hidden="1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 t="str">
        <f t="shared" si="18"/>
        <v>Active</v>
      </c>
      <c r="AK440">
        <f t="shared" ca="1" si="19"/>
        <v>2015</v>
      </c>
      <c r="AL440">
        <f t="shared" si="20"/>
        <v>0</v>
      </c>
      <c r="AM440" t="e" cm="1">
        <f t="array" aca="1" ref="AM440" ca="1">IF(B440="Yes",YEAR(TODAY()),BLANK())</f>
        <v>#NAME?</v>
      </c>
      <c r="AN440" t="str" cm="1">
        <f t="array" ref="AN440" xml:space="preserve"> _xlfn.IFS(A440&lt;25,"&lt;25",
A440&lt;=35,"25-35",
A440&lt;=45,"36-45",
TRUE,"45+"
)</f>
        <v>25-35</v>
      </c>
      <c r="AO440" t="str" cm="1">
        <f t="array" ref="AO440">_xlfn.IFS(S440&lt;5000,"Low",
S440&lt;=15000,"Medium",
TRUE,"High")</f>
        <v>Medium</v>
      </c>
    </row>
    <row r="441" spans="1:41" hidden="1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 t="str">
        <f t="shared" si="18"/>
        <v>Resigned</v>
      </c>
      <c r="AK441">
        <f t="shared" ca="1" si="19"/>
        <v>2013</v>
      </c>
      <c r="AL441">
        <f t="shared" si="20"/>
        <v>1</v>
      </c>
      <c r="AM441" cm="1">
        <f t="array" aca="1" ref="AM441" ca="1">IF(B441="Yes",YEAR(TODAY()),BLANK())</f>
        <v>2025</v>
      </c>
      <c r="AN441" t="str" cm="1">
        <f t="array" ref="AN441" xml:space="preserve"> _xlfn.IFS(A441&lt;25,"&lt;25",
A441&lt;=35,"25-35",
A441&lt;=45,"36-45",
TRUE,"45+"
)</f>
        <v>25-35</v>
      </c>
      <c r="AO441" t="str" cm="1">
        <f t="array" ref="AO441">_xlfn.IFS(S441&lt;5000,"Low",
S441&lt;=15000,"Medium",
TRUE,"High")</f>
        <v>Medium</v>
      </c>
    </row>
    <row r="442" spans="1:41" hidden="1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 t="str">
        <f t="shared" si="18"/>
        <v>Resigned</v>
      </c>
      <c r="AK442">
        <f t="shared" ca="1" si="19"/>
        <v>2014</v>
      </c>
      <c r="AL442">
        <f t="shared" si="20"/>
        <v>1</v>
      </c>
      <c r="AM442" cm="1">
        <f t="array" aca="1" ref="AM442" ca="1">IF(B442="Yes",YEAR(TODAY()),BLANK())</f>
        <v>2025</v>
      </c>
      <c r="AN442" t="str" cm="1">
        <f t="array" ref="AN442" xml:space="preserve"> _xlfn.IFS(A442&lt;25,"&lt;25",
A442&lt;=35,"25-35",
A442&lt;=45,"36-45",
TRUE,"45+"
)</f>
        <v>25-35</v>
      </c>
      <c r="AO442" t="str" cm="1">
        <f t="array" ref="AO442">_xlfn.IFS(S442&lt;5000,"Low",
S442&lt;=15000,"Medium",
TRUE,"High")</f>
        <v>Medium</v>
      </c>
    </row>
    <row r="443" spans="1:41" hidden="1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 t="str">
        <f t="shared" si="18"/>
        <v>Active</v>
      </c>
      <c r="AK443">
        <f t="shared" ca="1" si="19"/>
        <v>2017</v>
      </c>
      <c r="AL443">
        <f t="shared" si="20"/>
        <v>0</v>
      </c>
      <c r="AM443" t="e" cm="1">
        <f t="array" aca="1" ref="AM443" ca="1">IF(B443="Yes",YEAR(TODAY()),BLANK())</f>
        <v>#NAME?</v>
      </c>
      <c r="AN443" t="str" cm="1">
        <f t="array" ref="AN443" xml:space="preserve"> _xlfn.IFS(A443&lt;25,"&lt;25",
A443&lt;=35,"25-35",
A443&lt;=45,"36-45",
TRUE,"45+"
)</f>
        <v>36-45</v>
      </c>
      <c r="AO443" t="str" cm="1">
        <f t="array" ref="AO443">_xlfn.IFS(S443&lt;5000,"Low",
S443&lt;=15000,"Medium",
TRUE,"High")</f>
        <v>Low</v>
      </c>
    </row>
    <row r="444" spans="1:41" hidden="1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 t="str">
        <f t="shared" si="18"/>
        <v>Active</v>
      </c>
      <c r="AK444">
        <f t="shared" ca="1" si="19"/>
        <v>2015</v>
      </c>
      <c r="AL444">
        <f t="shared" si="20"/>
        <v>0</v>
      </c>
      <c r="AM444" t="e" cm="1">
        <f t="array" aca="1" ref="AM444" ca="1">IF(B444="Yes",YEAR(TODAY()),BLANK())</f>
        <v>#NAME?</v>
      </c>
      <c r="AN444" t="str" cm="1">
        <f t="array" ref="AN444" xml:space="preserve"> _xlfn.IFS(A444&lt;25,"&lt;25",
A444&lt;=35,"25-35",
A444&lt;=45,"36-45",
TRUE,"45+"
)</f>
        <v>36-45</v>
      </c>
      <c r="AO444" t="str" cm="1">
        <f t="array" ref="AO444">_xlfn.IFS(S444&lt;5000,"Low",
S444&lt;=15000,"Medium",
TRUE,"High")</f>
        <v>Medium</v>
      </c>
    </row>
    <row r="445" spans="1:41" hidden="1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 t="str">
        <f t="shared" si="18"/>
        <v>Resigned</v>
      </c>
      <c r="AK445">
        <f t="shared" ca="1" si="19"/>
        <v>2021</v>
      </c>
      <c r="AL445">
        <f t="shared" si="20"/>
        <v>1</v>
      </c>
      <c r="AM445" cm="1">
        <f t="array" aca="1" ref="AM445" ca="1">IF(B445="Yes",YEAR(TODAY()),BLANK())</f>
        <v>2025</v>
      </c>
      <c r="AN445" t="str" cm="1">
        <f t="array" ref="AN445" xml:space="preserve"> _xlfn.IFS(A445&lt;25,"&lt;25",
A445&lt;=35,"25-35",
A445&lt;=45,"36-45",
TRUE,"45+"
)</f>
        <v>&lt;25</v>
      </c>
      <c r="AO445" t="str" cm="1">
        <f t="array" ref="AO445">_xlfn.IFS(S445&lt;5000,"Low",
S445&lt;=15000,"Medium",
TRUE,"High")</f>
        <v>Low</v>
      </c>
    </row>
    <row r="446" spans="1:41" hidden="1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 t="str">
        <f t="shared" si="18"/>
        <v>Active</v>
      </c>
      <c r="AK446">
        <f t="shared" ca="1" si="19"/>
        <v>2011</v>
      </c>
      <c r="AL446">
        <f t="shared" si="20"/>
        <v>0</v>
      </c>
      <c r="AM446" t="e" cm="1">
        <f t="array" aca="1" ref="AM446" ca="1">IF(B446="Yes",YEAR(TODAY()),BLANK())</f>
        <v>#NAME?</v>
      </c>
      <c r="AN446" t="str" cm="1">
        <f t="array" ref="AN446" xml:space="preserve"> _xlfn.IFS(A446&lt;25,"&lt;25",
A446&lt;=35,"25-35",
A446&lt;=45,"36-45",
TRUE,"45+"
)</f>
        <v>45+</v>
      </c>
      <c r="AO446" t="str" cm="1">
        <f t="array" ref="AO446">_xlfn.IFS(S446&lt;5000,"Low",
S446&lt;=15000,"Medium",
TRUE,"High")</f>
        <v>Low</v>
      </c>
    </row>
    <row r="447" spans="1:41" hidden="1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 t="str">
        <f t="shared" si="18"/>
        <v>Active</v>
      </c>
      <c r="AK447">
        <f t="shared" ca="1" si="19"/>
        <v>1988</v>
      </c>
      <c r="AL447">
        <f t="shared" si="20"/>
        <v>0</v>
      </c>
      <c r="AM447" t="e" cm="1">
        <f t="array" aca="1" ref="AM447" ca="1">IF(B447="Yes",YEAR(TODAY()),BLANK())</f>
        <v>#NAME?</v>
      </c>
      <c r="AN447" t="str" cm="1">
        <f t="array" ref="AN447" xml:space="preserve"> _xlfn.IFS(A447&lt;25,"&lt;25",
A447&lt;=35,"25-35",
A447&lt;=45,"36-45",
TRUE,"45+"
)</f>
        <v>45+</v>
      </c>
      <c r="AO447" t="str" cm="1">
        <f t="array" ref="AO447">_xlfn.IFS(S447&lt;5000,"Low",
S447&lt;=15000,"Medium",
TRUE,"High")</f>
        <v>High</v>
      </c>
    </row>
    <row r="448" spans="1:41" hidden="1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 t="str">
        <f t="shared" si="18"/>
        <v>Active</v>
      </c>
      <c r="AK448">
        <f t="shared" ca="1" si="19"/>
        <v>2009</v>
      </c>
      <c r="AL448">
        <f t="shared" si="20"/>
        <v>0</v>
      </c>
      <c r="AM448" t="e" cm="1">
        <f t="array" aca="1" ref="AM448" ca="1">IF(B448="Yes",YEAR(TODAY()),BLANK())</f>
        <v>#NAME?</v>
      </c>
      <c r="AN448" t="str" cm="1">
        <f t="array" ref="AN448" xml:space="preserve"> _xlfn.IFS(A448&lt;25,"&lt;25",
A448&lt;=35,"25-35",
A448&lt;=45,"36-45",
TRUE,"45+"
)</f>
        <v>36-45</v>
      </c>
      <c r="AO448" t="str" cm="1">
        <f t="array" ref="AO448">_xlfn.IFS(S448&lt;5000,"Low",
S448&lt;=15000,"Medium",
TRUE,"High")</f>
        <v>Medium</v>
      </c>
    </row>
    <row r="449" spans="1:41" hidden="1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 t="str">
        <f t="shared" si="18"/>
        <v>Active</v>
      </c>
      <c r="AK449">
        <f t="shared" ca="1" si="19"/>
        <v>2010</v>
      </c>
      <c r="AL449">
        <f t="shared" si="20"/>
        <v>0</v>
      </c>
      <c r="AM449" t="e" cm="1">
        <f t="array" aca="1" ref="AM449" ca="1">IF(B449="Yes",YEAR(TODAY()),BLANK())</f>
        <v>#NAME?</v>
      </c>
      <c r="AN449" t="str" cm="1">
        <f t="array" ref="AN449" xml:space="preserve"> _xlfn.IFS(A449&lt;25,"&lt;25",
A449&lt;=35,"25-35",
A449&lt;=45,"36-45",
TRUE,"45+"
)</f>
        <v>25-35</v>
      </c>
      <c r="AO449" t="str" cm="1">
        <f t="array" ref="AO449">_xlfn.IFS(S449&lt;5000,"Low",
S449&lt;=15000,"Medium",
TRUE,"High")</f>
        <v>Low</v>
      </c>
    </row>
    <row r="450" spans="1:41" hidden="1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 t="str">
        <f t="shared" si="18"/>
        <v>Active</v>
      </c>
      <c r="AK450">
        <f t="shared" ca="1" si="19"/>
        <v>2003</v>
      </c>
      <c r="AL450">
        <f t="shared" si="20"/>
        <v>0</v>
      </c>
      <c r="AM450" t="e" cm="1">
        <f t="array" aca="1" ref="AM450" ca="1">IF(B450="Yes",YEAR(TODAY()),BLANK())</f>
        <v>#NAME?</v>
      </c>
      <c r="AN450" t="str" cm="1">
        <f t="array" ref="AN450" xml:space="preserve"> _xlfn.IFS(A450&lt;25,"&lt;25",
A450&lt;=35,"25-35",
A450&lt;=45,"36-45",
TRUE,"45+"
)</f>
        <v>36-45</v>
      </c>
      <c r="AO450" t="str" cm="1">
        <f t="array" ref="AO450">_xlfn.IFS(S450&lt;5000,"Low",
S450&lt;=15000,"Medium",
TRUE,"High")</f>
        <v>Medium</v>
      </c>
    </row>
    <row r="451" spans="1:41" hidden="1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 t="str">
        <f t="shared" ref="AJ451:AJ514" si="21">IF(B451="Yes", "Resigned","Active")</f>
        <v>Active</v>
      </c>
      <c r="AK451">
        <f t="shared" ref="AK451:AK514" ca="1" si="22">YEAR(TODAY()) - AC451</f>
        <v>2017</v>
      </c>
      <c r="AL451">
        <f t="shared" ref="AL451:AL514" si="23">IF(B451="Yes",1,0)</f>
        <v>0</v>
      </c>
      <c r="AM451" t="e" cm="1">
        <f t="array" aca="1" ref="AM451" ca="1">IF(B451="Yes",YEAR(TODAY()),BLANK())</f>
        <v>#NAME?</v>
      </c>
      <c r="AN451" t="str" cm="1">
        <f t="array" ref="AN451" xml:space="preserve"> _xlfn.IFS(A451&lt;25,"&lt;25",
A451&lt;=35,"25-35",
A451&lt;=45,"36-45",
TRUE,"45+"
)</f>
        <v>36-45</v>
      </c>
      <c r="AO451" t="str" cm="1">
        <f t="array" ref="AO451">_xlfn.IFS(S451&lt;5000,"Low",
S451&lt;=15000,"Medium",
TRUE,"High")</f>
        <v>Low</v>
      </c>
    </row>
    <row r="452" spans="1:41" hidden="1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 t="str">
        <f t="shared" si="21"/>
        <v>Active</v>
      </c>
      <c r="AK452">
        <f t="shared" ca="1" si="22"/>
        <v>2015</v>
      </c>
      <c r="AL452">
        <f t="shared" si="23"/>
        <v>0</v>
      </c>
      <c r="AM452" t="e" cm="1">
        <f t="array" aca="1" ref="AM452" ca="1">IF(B452="Yes",YEAR(TODAY()),BLANK())</f>
        <v>#NAME?</v>
      </c>
      <c r="AN452" t="str" cm="1">
        <f t="array" ref="AN452" xml:space="preserve"> _xlfn.IFS(A452&lt;25,"&lt;25",
A452&lt;=35,"25-35",
A452&lt;=45,"36-45",
TRUE,"45+"
)</f>
        <v>25-35</v>
      </c>
      <c r="AO452" t="str" cm="1">
        <f t="array" ref="AO452">_xlfn.IFS(S452&lt;5000,"Low",
S452&lt;=15000,"Medium",
TRUE,"High")</f>
        <v>Medium</v>
      </c>
    </row>
    <row r="453" spans="1:41" hidden="1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 t="str">
        <f t="shared" si="21"/>
        <v>Active</v>
      </c>
      <c r="AK453">
        <f t="shared" ca="1" si="22"/>
        <v>2015</v>
      </c>
      <c r="AL453">
        <f t="shared" si="23"/>
        <v>0</v>
      </c>
      <c r="AM453" t="e" cm="1">
        <f t="array" aca="1" ref="AM453" ca="1">IF(B453="Yes",YEAR(TODAY()),BLANK())</f>
        <v>#NAME?</v>
      </c>
      <c r="AN453" t="str" cm="1">
        <f t="array" ref="AN453" xml:space="preserve"> _xlfn.IFS(A453&lt;25,"&lt;25",
A453&lt;=35,"25-35",
A453&lt;=45,"36-45",
TRUE,"45+"
)</f>
        <v>36-45</v>
      </c>
      <c r="AO453" t="str" cm="1">
        <f t="array" ref="AO453">_xlfn.IFS(S453&lt;5000,"Low",
S453&lt;=15000,"Medium",
TRUE,"High")</f>
        <v>Medium</v>
      </c>
    </row>
    <row r="454" spans="1:41" hidden="1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 t="str">
        <f t="shared" si="21"/>
        <v>Active</v>
      </c>
      <c r="AK454">
        <f t="shared" ca="1" si="22"/>
        <v>2016</v>
      </c>
      <c r="AL454">
        <f t="shared" si="23"/>
        <v>0</v>
      </c>
      <c r="AM454" t="e" cm="1">
        <f t="array" aca="1" ref="AM454" ca="1">IF(B454="Yes",YEAR(TODAY()),BLANK())</f>
        <v>#NAME?</v>
      </c>
      <c r="AN454" t="str" cm="1">
        <f t="array" ref="AN454" xml:space="preserve"> _xlfn.IFS(A454&lt;25,"&lt;25",
A454&lt;=35,"25-35",
A454&lt;=45,"36-45",
TRUE,"45+"
)</f>
        <v>36-45</v>
      </c>
      <c r="AO454" t="str" cm="1">
        <f t="array" ref="AO454">_xlfn.IFS(S454&lt;5000,"Low",
S454&lt;=15000,"Medium",
TRUE,"High")</f>
        <v>Low</v>
      </c>
    </row>
    <row r="455" spans="1:41" hidden="1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 t="str">
        <f t="shared" si="21"/>
        <v>Resigned</v>
      </c>
      <c r="AK455">
        <f t="shared" ca="1" si="22"/>
        <v>2017</v>
      </c>
      <c r="AL455">
        <f t="shared" si="23"/>
        <v>1</v>
      </c>
      <c r="AM455" cm="1">
        <f t="array" aca="1" ref="AM455" ca="1">IF(B455="Yes",YEAR(TODAY()),BLANK())</f>
        <v>2025</v>
      </c>
      <c r="AN455" t="str" cm="1">
        <f t="array" ref="AN455" xml:space="preserve"> _xlfn.IFS(A455&lt;25,"&lt;25",
A455&lt;=35,"25-35",
A455&lt;=45,"36-45",
TRUE,"45+"
)</f>
        <v>25-35</v>
      </c>
      <c r="AO455" t="str" cm="1">
        <f t="array" ref="AO455">_xlfn.IFS(S455&lt;5000,"Low",
S455&lt;=15000,"Medium",
TRUE,"High")</f>
        <v>Low</v>
      </c>
    </row>
    <row r="456" spans="1:41" hidden="1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 t="str">
        <f t="shared" si="21"/>
        <v>Active</v>
      </c>
      <c r="AK456">
        <f t="shared" ca="1" si="22"/>
        <v>2017</v>
      </c>
      <c r="AL456">
        <f t="shared" si="23"/>
        <v>0</v>
      </c>
      <c r="AM456" t="e" cm="1">
        <f t="array" aca="1" ref="AM456" ca="1">IF(B456="Yes",YEAR(TODAY()),BLANK())</f>
        <v>#NAME?</v>
      </c>
      <c r="AN456" t="str" cm="1">
        <f t="array" ref="AN456" xml:space="preserve"> _xlfn.IFS(A456&lt;25,"&lt;25",
A456&lt;=35,"25-35",
A456&lt;=45,"36-45",
TRUE,"45+"
)</f>
        <v>25-35</v>
      </c>
      <c r="AO456" t="str" cm="1">
        <f t="array" ref="AO456">_xlfn.IFS(S456&lt;5000,"Low",
S456&lt;=15000,"Medium",
TRUE,"High")</f>
        <v>Low</v>
      </c>
    </row>
    <row r="457" spans="1:41" hidden="1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 t="str">
        <f t="shared" si="21"/>
        <v>Active</v>
      </c>
      <c r="AK457">
        <f t="shared" ca="1" si="22"/>
        <v>2015</v>
      </c>
      <c r="AL457">
        <f t="shared" si="23"/>
        <v>0</v>
      </c>
      <c r="AM457" t="e" cm="1">
        <f t="array" aca="1" ref="AM457" ca="1">IF(B457="Yes",YEAR(TODAY()),BLANK())</f>
        <v>#NAME?</v>
      </c>
      <c r="AN457" t="str" cm="1">
        <f t="array" ref="AN457" xml:space="preserve"> _xlfn.IFS(A457&lt;25,"&lt;25",
A457&lt;=35,"25-35",
A457&lt;=45,"36-45",
TRUE,"45+"
)</f>
        <v>25-35</v>
      </c>
      <c r="AO457" t="str" cm="1">
        <f t="array" ref="AO457">_xlfn.IFS(S457&lt;5000,"Low",
S457&lt;=15000,"Medium",
TRUE,"High")</f>
        <v>High</v>
      </c>
    </row>
    <row r="458" spans="1:41" hidden="1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 t="str">
        <f t="shared" si="21"/>
        <v>Active</v>
      </c>
      <c r="AK458">
        <f t="shared" ca="1" si="22"/>
        <v>2015</v>
      </c>
      <c r="AL458">
        <f t="shared" si="23"/>
        <v>0</v>
      </c>
      <c r="AM458" t="e" cm="1">
        <f t="array" aca="1" ref="AM458" ca="1">IF(B458="Yes",YEAR(TODAY()),BLANK())</f>
        <v>#NAME?</v>
      </c>
      <c r="AN458" t="str" cm="1">
        <f t="array" ref="AN458" xml:space="preserve"> _xlfn.IFS(A458&lt;25,"&lt;25",
A458&lt;=35,"25-35",
A458&lt;=45,"36-45",
TRUE,"45+"
)</f>
        <v>25-35</v>
      </c>
      <c r="AO458" t="str" cm="1">
        <f t="array" ref="AO458">_xlfn.IFS(S458&lt;5000,"Low",
S458&lt;=15000,"Medium",
TRUE,"High")</f>
        <v>Medium</v>
      </c>
    </row>
    <row r="459" spans="1:41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 t="str">
        <f t="shared" si="21"/>
        <v>Resigned</v>
      </c>
      <c r="AK459">
        <f t="shared" ca="1" si="22"/>
        <v>2025</v>
      </c>
      <c r="AL459">
        <f t="shared" si="23"/>
        <v>1</v>
      </c>
      <c r="AM459" cm="1">
        <f t="array" aca="1" ref="AM459" ca="1">IF(B459="Yes",YEAR(TODAY()),BLANK())</f>
        <v>2025</v>
      </c>
      <c r="AN459" t="str" cm="1">
        <f t="array" ref="AN459" xml:space="preserve"> _xlfn.IFS(A459&lt;25,"&lt;25",
A459&lt;=35,"25-35",
A459&lt;=45,"36-45",
TRUE,"45+"
)</f>
        <v>&lt;25</v>
      </c>
      <c r="AO459" t="str" cm="1">
        <f t="array" ref="AO459">_xlfn.IFS(S459&lt;5000,"Low",
S459&lt;=15000,"Medium",
TRUE,"High")</f>
        <v>Low</v>
      </c>
    </row>
    <row r="460" spans="1:41" hidden="1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 t="str">
        <f t="shared" si="21"/>
        <v>Active</v>
      </c>
      <c r="AK460">
        <f t="shared" ca="1" si="22"/>
        <v>2005</v>
      </c>
      <c r="AL460">
        <f t="shared" si="23"/>
        <v>0</v>
      </c>
      <c r="AM460" t="e" cm="1">
        <f t="array" aca="1" ref="AM460" ca="1">IF(B460="Yes",YEAR(TODAY()),BLANK())</f>
        <v>#NAME?</v>
      </c>
      <c r="AN460" t="str" cm="1">
        <f t="array" ref="AN460" xml:space="preserve"> _xlfn.IFS(A460&lt;25,"&lt;25",
A460&lt;=35,"25-35",
A460&lt;=45,"36-45",
TRUE,"45+"
)</f>
        <v>36-45</v>
      </c>
      <c r="AO460" t="str" cm="1">
        <f t="array" ref="AO460">_xlfn.IFS(S460&lt;5000,"Low",
S460&lt;=15000,"Medium",
TRUE,"High")</f>
        <v>Medium</v>
      </c>
    </row>
    <row r="461" spans="1:41" hidden="1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 t="str">
        <f t="shared" si="21"/>
        <v>Active</v>
      </c>
      <c r="AK461">
        <f t="shared" ca="1" si="22"/>
        <v>2015</v>
      </c>
      <c r="AL461">
        <f t="shared" si="23"/>
        <v>0</v>
      </c>
      <c r="AM461" t="e" cm="1">
        <f t="array" aca="1" ref="AM461" ca="1">IF(B461="Yes",YEAR(TODAY()),BLANK())</f>
        <v>#NAME?</v>
      </c>
      <c r="AN461" t="str" cm="1">
        <f t="array" ref="AN461" xml:space="preserve"> _xlfn.IFS(A461&lt;25,"&lt;25",
A461&lt;=35,"25-35",
A461&lt;=45,"36-45",
TRUE,"45+"
)</f>
        <v>36-45</v>
      </c>
      <c r="AO461" t="str" cm="1">
        <f t="array" ref="AO461">_xlfn.IFS(S461&lt;5000,"Low",
S461&lt;=15000,"Medium",
TRUE,"High")</f>
        <v>Medium</v>
      </c>
    </row>
    <row r="462" spans="1:41" hidden="1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 t="str">
        <f t="shared" si="21"/>
        <v>Active</v>
      </c>
      <c r="AK462">
        <f t="shared" ca="1" si="22"/>
        <v>2017</v>
      </c>
      <c r="AL462">
        <f t="shared" si="23"/>
        <v>0</v>
      </c>
      <c r="AM462" t="e" cm="1">
        <f t="array" aca="1" ref="AM462" ca="1">IF(B462="Yes",YEAR(TODAY()),BLANK())</f>
        <v>#NAME?</v>
      </c>
      <c r="AN462" t="str" cm="1">
        <f t="array" ref="AN462" xml:space="preserve"> _xlfn.IFS(A462&lt;25,"&lt;25",
A462&lt;=35,"25-35",
A462&lt;=45,"36-45",
TRUE,"45+"
)</f>
        <v>25-35</v>
      </c>
      <c r="AO462" t="str" cm="1">
        <f t="array" ref="AO462">_xlfn.IFS(S462&lt;5000,"Low",
S462&lt;=15000,"Medium",
TRUE,"High")</f>
        <v>Low</v>
      </c>
    </row>
    <row r="463" spans="1:41" hidden="1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 t="str">
        <f t="shared" si="21"/>
        <v>Active</v>
      </c>
      <c r="AK463">
        <f t="shared" ca="1" si="22"/>
        <v>2020</v>
      </c>
      <c r="AL463">
        <f t="shared" si="23"/>
        <v>0</v>
      </c>
      <c r="AM463" t="e" cm="1">
        <f t="array" aca="1" ref="AM463" ca="1">IF(B463="Yes",YEAR(TODAY()),BLANK())</f>
        <v>#NAME?</v>
      </c>
      <c r="AN463" t="str" cm="1">
        <f t="array" ref="AN463" xml:space="preserve"> _xlfn.IFS(A463&lt;25,"&lt;25",
A463&lt;=35,"25-35",
A463&lt;=45,"36-45",
TRUE,"45+"
)</f>
        <v>25-35</v>
      </c>
      <c r="AO463" t="str" cm="1">
        <f t="array" ref="AO463">_xlfn.IFS(S463&lt;5000,"Low",
S463&lt;=15000,"Medium",
TRUE,"High")</f>
        <v>Low</v>
      </c>
    </row>
    <row r="464" spans="1:41" hidden="1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 t="str">
        <f t="shared" si="21"/>
        <v>Active</v>
      </c>
      <c r="AK464">
        <f t="shared" ca="1" si="22"/>
        <v>2015</v>
      </c>
      <c r="AL464">
        <f t="shared" si="23"/>
        <v>0</v>
      </c>
      <c r="AM464" t="e" cm="1">
        <f t="array" aca="1" ref="AM464" ca="1">IF(B464="Yes",YEAR(TODAY()),BLANK())</f>
        <v>#NAME?</v>
      </c>
      <c r="AN464" t="str" cm="1">
        <f t="array" ref="AN464" xml:space="preserve"> _xlfn.IFS(A464&lt;25,"&lt;25",
A464&lt;=35,"25-35",
A464&lt;=45,"36-45",
TRUE,"45+"
)</f>
        <v>25-35</v>
      </c>
      <c r="AO464" t="str" cm="1">
        <f t="array" ref="AO464">_xlfn.IFS(S464&lt;5000,"Low",
S464&lt;=15000,"Medium",
TRUE,"High")</f>
        <v>Medium</v>
      </c>
    </row>
    <row r="465" spans="1:41" hidden="1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 t="str">
        <f t="shared" si="21"/>
        <v>Resigned</v>
      </c>
      <c r="AK465">
        <f t="shared" ca="1" si="22"/>
        <v>2024</v>
      </c>
      <c r="AL465">
        <f t="shared" si="23"/>
        <v>1</v>
      </c>
      <c r="AM465" cm="1">
        <f t="array" aca="1" ref="AM465" ca="1">IF(B465="Yes",YEAR(TODAY()),BLANK())</f>
        <v>2025</v>
      </c>
      <c r="AN465" t="str" cm="1">
        <f t="array" ref="AN465" xml:space="preserve"> _xlfn.IFS(A465&lt;25,"&lt;25",
A465&lt;=35,"25-35",
A465&lt;=45,"36-45",
TRUE,"45+"
)</f>
        <v>25-35</v>
      </c>
      <c r="AO465" t="str" cm="1">
        <f t="array" ref="AO465">_xlfn.IFS(S465&lt;5000,"Low",
S465&lt;=15000,"Medium",
TRUE,"High")</f>
        <v>Low</v>
      </c>
    </row>
    <row r="466" spans="1:41" hidden="1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 t="str">
        <f t="shared" si="21"/>
        <v>Active</v>
      </c>
      <c r="AK466">
        <f t="shared" ca="1" si="22"/>
        <v>2013</v>
      </c>
      <c r="AL466">
        <f t="shared" si="23"/>
        <v>0</v>
      </c>
      <c r="AM466" t="e" cm="1">
        <f t="array" aca="1" ref="AM466" ca="1">IF(B466="Yes",YEAR(TODAY()),BLANK())</f>
        <v>#NAME?</v>
      </c>
      <c r="AN466" t="str" cm="1">
        <f t="array" ref="AN466" xml:space="preserve"> _xlfn.IFS(A466&lt;25,"&lt;25",
A466&lt;=35,"25-35",
A466&lt;=45,"36-45",
TRUE,"45+"
)</f>
        <v>36-45</v>
      </c>
      <c r="AO466" t="str" cm="1">
        <f t="array" ref="AO466">_xlfn.IFS(S466&lt;5000,"Low",
S466&lt;=15000,"Medium",
TRUE,"High")</f>
        <v>Medium</v>
      </c>
    </row>
    <row r="467" spans="1:41" hidden="1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 t="str">
        <f t="shared" si="21"/>
        <v>Active</v>
      </c>
      <c r="AK467">
        <f t="shared" ca="1" si="22"/>
        <v>1997</v>
      </c>
      <c r="AL467">
        <f t="shared" si="23"/>
        <v>0</v>
      </c>
      <c r="AM467" t="e" cm="1">
        <f t="array" aca="1" ref="AM467" ca="1">IF(B467="Yes",YEAR(TODAY()),BLANK())</f>
        <v>#NAME?</v>
      </c>
      <c r="AN467" t="str" cm="1">
        <f t="array" ref="AN467" xml:space="preserve"> _xlfn.IFS(A467&lt;25,"&lt;25",
A467&lt;=35,"25-35",
A467&lt;=45,"36-45",
TRUE,"45+"
)</f>
        <v>45+</v>
      </c>
      <c r="AO467" t="str" cm="1">
        <f t="array" ref="AO467">_xlfn.IFS(S467&lt;5000,"Low",
S467&lt;=15000,"Medium",
TRUE,"High")</f>
        <v>Medium</v>
      </c>
    </row>
    <row r="468" spans="1:41" hidden="1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 t="str">
        <f t="shared" si="21"/>
        <v>Active</v>
      </c>
      <c r="AK468">
        <f t="shared" ca="1" si="22"/>
        <v>2003</v>
      </c>
      <c r="AL468">
        <f t="shared" si="23"/>
        <v>0</v>
      </c>
      <c r="AM468" t="e" cm="1">
        <f t="array" aca="1" ref="AM468" ca="1">IF(B468="Yes",YEAR(TODAY()),BLANK())</f>
        <v>#NAME?</v>
      </c>
      <c r="AN468" t="str" cm="1">
        <f t="array" ref="AN468" xml:space="preserve"> _xlfn.IFS(A468&lt;25,"&lt;25",
A468&lt;=35,"25-35",
A468&lt;=45,"36-45",
TRUE,"45+"
)</f>
        <v>36-45</v>
      </c>
      <c r="AO468" t="str" cm="1">
        <f t="array" ref="AO468">_xlfn.IFS(S468&lt;5000,"Low",
S468&lt;=15000,"Medium",
TRUE,"High")</f>
        <v>High</v>
      </c>
    </row>
    <row r="469" spans="1:41" hidden="1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 t="str">
        <f t="shared" si="21"/>
        <v>Active</v>
      </c>
      <c r="AK469">
        <f t="shared" ca="1" si="22"/>
        <v>2016</v>
      </c>
      <c r="AL469">
        <f t="shared" si="23"/>
        <v>0</v>
      </c>
      <c r="AM469" t="e" cm="1">
        <f t="array" aca="1" ref="AM469" ca="1">IF(B469="Yes",YEAR(TODAY()),BLANK())</f>
        <v>#NAME?</v>
      </c>
      <c r="AN469" t="str" cm="1">
        <f t="array" ref="AN469" xml:space="preserve"> _xlfn.IFS(A469&lt;25,"&lt;25",
A469&lt;=35,"25-35",
A469&lt;=45,"36-45",
TRUE,"45+"
)</f>
        <v>36-45</v>
      </c>
      <c r="AO469" t="str" cm="1">
        <f t="array" ref="AO469">_xlfn.IFS(S469&lt;5000,"Low",
S469&lt;=15000,"Medium",
TRUE,"High")</f>
        <v>Medium</v>
      </c>
    </row>
    <row r="470" spans="1:41" hidden="1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 t="str">
        <f t="shared" si="21"/>
        <v>Active</v>
      </c>
      <c r="AK470">
        <f t="shared" ca="1" si="22"/>
        <v>2007</v>
      </c>
      <c r="AL470">
        <f t="shared" si="23"/>
        <v>0</v>
      </c>
      <c r="AM470" t="e" cm="1">
        <f t="array" aca="1" ref="AM470" ca="1">IF(B470="Yes",YEAR(TODAY()),BLANK())</f>
        <v>#NAME?</v>
      </c>
      <c r="AN470" t="str" cm="1">
        <f t="array" ref="AN470" xml:space="preserve"> _xlfn.IFS(A470&lt;25,"&lt;25",
A470&lt;=35,"25-35",
A470&lt;=45,"36-45",
TRUE,"45+"
)</f>
        <v>45+</v>
      </c>
      <c r="AO470" t="str" cm="1">
        <f t="array" ref="AO470">_xlfn.IFS(S470&lt;5000,"Low",
S470&lt;=15000,"Medium",
TRUE,"High")</f>
        <v>Medium</v>
      </c>
    </row>
    <row r="471" spans="1:41" hidden="1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 t="str">
        <f t="shared" si="21"/>
        <v>Resigned</v>
      </c>
      <c r="AK471">
        <f t="shared" ca="1" si="22"/>
        <v>2019</v>
      </c>
      <c r="AL471">
        <f t="shared" si="23"/>
        <v>1</v>
      </c>
      <c r="AM471" cm="1">
        <f t="array" aca="1" ref="AM471" ca="1">IF(B471="Yes",YEAR(TODAY()),BLANK())</f>
        <v>2025</v>
      </c>
      <c r="AN471" t="str" cm="1">
        <f t="array" ref="AN471" xml:space="preserve"> _xlfn.IFS(A471&lt;25,"&lt;25",
A471&lt;=35,"25-35",
A471&lt;=45,"36-45",
TRUE,"45+"
)</f>
        <v>25-35</v>
      </c>
      <c r="AO471" t="str" cm="1">
        <f t="array" ref="AO471">_xlfn.IFS(S471&lt;5000,"Low",
S471&lt;=15000,"Medium",
TRUE,"High")</f>
        <v>Low</v>
      </c>
    </row>
    <row r="472" spans="1:41" hidden="1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 t="str">
        <f t="shared" si="21"/>
        <v>Active</v>
      </c>
      <c r="AK472">
        <f t="shared" ca="1" si="22"/>
        <v>2022</v>
      </c>
      <c r="AL472">
        <f t="shared" si="23"/>
        <v>0</v>
      </c>
      <c r="AM472" t="e" cm="1">
        <f t="array" aca="1" ref="AM472" ca="1">IF(B472="Yes",YEAR(TODAY()),BLANK())</f>
        <v>#NAME?</v>
      </c>
      <c r="AN472" t="str" cm="1">
        <f t="array" ref="AN472" xml:space="preserve"> _xlfn.IFS(A472&lt;25,"&lt;25",
A472&lt;=35,"25-35",
A472&lt;=45,"36-45",
TRUE,"45+"
)</f>
        <v>&lt;25</v>
      </c>
      <c r="AO472" t="str" cm="1">
        <f t="array" ref="AO472">_xlfn.IFS(S472&lt;5000,"Low",
S472&lt;=15000,"Medium",
TRUE,"High")</f>
        <v>Low</v>
      </c>
    </row>
    <row r="473" spans="1:41" hidden="1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 t="str">
        <f t="shared" si="21"/>
        <v>Active</v>
      </c>
      <c r="AK473">
        <f t="shared" ca="1" si="22"/>
        <v>2007</v>
      </c>
      <c r="AL473">
        <f t="shared" si="23"/>
        <v>0</v>
      </c>
      <c r="AM473" t="e" cm="1">
        <f t="array" aca="1" ref="AM473" ca="1">IF(B473="Yes",YEAR(TODAY()),BLANK())</f>
        <v>#NAME?</v>
      </c>
      <c r="AN473" t="str" cm="1">
        <f t="array" ref="AN473" xml:space="preserve"> _xlfn.IFS(A473&lt;25,"&lt;25",
A473&lt;=35,"25-35",
A473&lt;=45,"36-45",
TRUE,"45+"
)</f>
        <v>36-45</v>
      </c>
      <c r="AO473" t="str" cm="1">
        <f t="array" ref="AO473">_xlfn.IFS(S473&lt;5000,"Low",
S473&lt;=15000,"Medium",
TRUE,"High")</f>
        <v>Medium</v>
      </c>
    </row>
    <row r="474" spans="1:41" hidden="1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 t="str">
        <f t="shared" si="21"/>
        <v>Active</v>
      </c>
      <c r="AK474">
        <f t="shared" ca="1" si="22"/>
        <v>2017</v>
      </c>
      <c r="AL474">
        <f t="shared" si="23"/>
        <v>0</v>
      </c>
      <c r="AM474" t="e" cm="1">
        <f t="array" aca="1" ref="AM474" ca="1">IF(B474="Yes",YEAR(TODAY()),BLANK())</f>
        <v>#NAME?</v>
      </c>
      <c r="AN474" t="str" cm="1">
        <f t="array" ref="AN474" xml:space="preserve"> _xlfn.IFS(A474&lt;25,"&lt;25",
A474&lt;=35,"25-35",
A474&lt;=45,"36-45",
TRUE,"45+"
)</f>
        <v>36-45</v>
      </c>
      <c r="AO474" t="str" cm="1">
        <f t="array" ref="AO474">_xlfn.IFS(S474&lt;5000,"Low",
S474&lt;=15000,"Medium",
TRUE,"High")</f>
        <v>Medium</v>
      </c>
    </row>
    <row r="475" spans="1:41" hidden="1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 t="str">
        <f t="shared" si="21"/>
        <v>Active</v>
      </c>
      <c r="AK475">
        <f t="shared" ca="1" si="22"/>
        <v>1994</v>
      </c>
      <c r="AL475">
        <f t="shared" si="23"/>
        <v>0</v>
      </c>
      <c r="AM475" t="e" cm="1">
        <f t="array" aca="1" ref="AM475" ca="1">IF(B475="Yes",YEAR(TODAY()),BLANK())</f>
        <v>#NAME?</v>
      </c>
      <c r="AN475" t="str" cm="1">
        <f t="array" ref="AN475" xml:space="preserve"> _xlfn.IFS(A475&lt;25,"&lt;25",
A475&lt;=35,"25-35",
A475&lt;=45,"36-45",
TRUE,"45+"
)</f>
        <v>45+</v>
      </c>
      <c r="AO475" t="str" cm="1">
        <f t="array" ref="AO475">_xlfn.IFS(S475&lt;5000,"Low",
S475&lt;=15000,"Medium",
TRUE,"High")</f>
        <v>High</v>
      </c>
    </row>
    <row r="476" spans="1:41" hidden="1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 t="str">
        <f t="shared" si="21"/>
        <v>Active</v>
      </c>
      <c r="AK476">
        <f t="shared" ca="1" si="22"/>
        <v>2019</v>
      </c>
      <c r="AL476">
        <f t="shared" si="23"/>
        <v>0</v>
      </c>
      <c r="AM476" t="e" cm="1">
        <f t="array" aca="1" ref="AM476" ca="1">IF(B476="Yes",YEAR(TODAY()),BLANK())</f>
        <v>#NAME?</v>
      </c>
      <c r="AN476" t="str" cm="1">
        <f t="array" ref="AN476" xml:space="preserve"> _xlfn.IFS(A476&lt;25,"&lt;25",
A476&lt;=35,"25-35",
A476&lt;=45,"36-45",
TRUE,"45+"
)</f>
        <v>&lt;25</v>
      </c>
      <c r="AO476" t="str" cm="1">
        <f t="array" ref="AO476">_xlfn.IFS(S476&lt;5000,"Low",
S476&lt;=15000,"Medium",
TRUE,"High")</f>
        <v>Low</v>
      </c>
    </row>
    <row r="477" spans="1:41" hidden="1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 t="str">
        <f t="shared" si="21"/>
        <v>Active</v>
      </c>
      <c r="AK477">
        <f t="shared" ca="1" si="22"/>
        <v>2019</v>
      </c>
      <c r="AL477">
        <f t="shared" si="23"/>
        <v>0</v>
      </c>
      <c r="AM477" t="e" cm="1">
        <f t="array" aca="1" ref="AM477" ca="1">IF(B477="Yes",YEAR(TODAY()),BLANK())</f>
        <v>#NAME?</v>
      </c>
      <c r="AN477" t="str" cm="1">
        <f t="array" ref="AN477" xml:space="preserve"> _xlfn.IFS(A477&lt;25,"&lt;25",
A477&lt;=35,"25-35",
A477&lt;=45,"36-45",
TRUE,"45+"
)</f>
        <v>25-35</v>
      </c>
      <c r="AO477" t="str" cm="1">
        <f t="array" ref="AO477">_xlfn.IFS(S477&lt;5000,"Low",
S477&lt;=15000,"Medium",
TRUE,"High")</f>
        <v>Medium</v>
      </c>
    </row>
    <row r="478" spans="1:41" hidden="1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 t="str">
        <f t="shared" si="21"/>
        <v>Active</v>
      </c>
      <c r="AK478">
        <f t="shared" ca="1" si="22"/>
        <v>2024</v>
      </c>
      <c r="AL478">
        <f t="shared" si="23"/>
        <v>0</v>
      </c>
      <c r="AM478" t="e" cm="1">
        <f t="array" aca="1" ref="AM478" ca="1">IF(B478="Yes",YEAR(TODAY()),BLANK())</f>
        <v>#NAME?</v>
      </c>
      <c r="AN478" t="str" cm="1">
        <f t="array" ref="AN478" xml:space="preserve"> _xlfn.IFS(A478&lt;25,"&lt;25",
A478&lt;=35,"25-35",
A478&lt;=45,"36-45",
TRUE,"45+"
)</f>
        <v>&lt;25</v>
      </c>
      <c r="AO478" t="str" cm="1">
        <f t="array" ref="AO478">_xlfn.IFS(S478&lt;5000,"Low",
S478&lt;=15000,"Medium",
TRUE,"High")</f>
        <v>Low</v>
      </c>
    </row>
    <row r="479" spans="1:41" hidden="1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 t="str">
        <f t="shared" si="21"/>
        <v>Active</v>
      </c>
      <c r="AK479">
        <f t="shared" ca="1" si="22"/>
        <v>1993</v>
      </c>
      <c r="AL479">
        <f t="shared" si="23"/>
        <v>0</v>
      </c>
      <c r="AM479" t="e" cm="1">
        <f t="array" aca="1" ref="AM479" ca="1">IF(B479="Yes",YEAR(TODAY()),BLANK())</f>
        <v>#NAME?</v>
      </c>
      <c r="AN479" t="str" cm="1">
        <f t="array" ref="AN479" xml:space="preserve"> _xlfn.IFS(A479&lt;25,"&lt;25",
A479&lt;=35,"25-35",
A479&lt;=45,"36-45",
TRUE,"45+"
)</f>
        <v>45+</v>
      </c>
      <c r="AO479" t="str" cm="1">
        <f t="array" ref="AO479">_xlfn.IFS(S479&lt;5000,"Low",
S479&lt;=15000,"Medium",
TRUE,"High")</f>
        <v>High</v>
      </c>
    </row>
    <row r="480" spans="1:41" hidden="1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 t="str">
        <f t="shared" si="21"/>
        <v>Active</v>
      </c>
      <c r="AK480">
        <f t="shared" ca="1" si="22"/>
        <v>2018</v>
      </c>
      <c r="AL480">
        <f t="shared" si="23"/>
        <v>0</v>
      </c>
      <c r="AM480" t="e" cm="1">
        <f t="array" aca="1" ref="AM480" ca="1">IF(B480="Yes",YEAR(TODAY()),BLANK())</f>
        <v>#NAME?</v>
      </c>
      <c r="AN480" t="str" cm="1">
        <f t="array" ref="AN480" xml:space="preserve"> _xlfn.IFS(A480&lt;25,"&lt;25",
A480&lt;=35,"25-35",
A480&lt;=45,"36-45",
TRUE,"45+"
)</f>
        <v>25-35</v>
      </c>
      <c r="AO480" t="str" cm="1">
        <f t="array" ref="AO480">_xlfn.IFS(S480&lt;5000,"Low",
S480&lt;=15000,"Medium",
TRUE,"High")</f>
        <v>Low</v>
      </c>
    </row>
    <row r="481" spans="1:41" hidden="1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 t="str">
        <f t="shared" si="21"/>
        <v>Resigned</v>
      </c>
      <c r="AK481">
        <f t="shared" ca="1" si="22"/>
        <v>2019</v>
      </c>
      <c r="AL481">
        <f t="shared" si="23"/>
        <v>1</v>
      </c>
      <c r="AM481" cm="1">
        <f t="array" aca="1" ref="AM481" ca="1">IF(B481="Yes",YEAR(TODAY()),BLANK())</f>
        <v>2025</v>
      </c>
      <c r="AN481" t="str" cm="1">
        <f t="array" ref="AN481" xml:space="preserve"> _xlfn.IFS(A481&lt;25,"&lt;25",
A481&lt;=35,"25-35",
A481&lt;=45,"36-45",
TRUE,"45+"
)</f>
        <v>&lt;25</v>
      </c>
      <c r="AO481" t="str" cm="1">
        <f t="array" ref="AO481">_xlfn.IFS(S481&lt;5000,"Low",
S481&lt;=15000,"Medium",
TRUE,"High")</f>
        <v>Low</v>
      </c>
    </row>
    <row r="482" spans="1:41" hidden="1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 t="str">
        <f t="shared" si="21"/>
        <v>Resigned</v>
      </c>
      <c r="AK482">
        <f t="shared" ca="1" si="22"/>
        <v>2024</v>
      </c>
      <c r="AL482">
        <f t="shared" si="23"/>
        <v>1</v>
      </c>
      <c r="AM482" cm="1">
        <f t="array" aca="1" ref="AM482" ca="1">IF(B482="Yes",YEAR(TODAY()),BLANK())</f>
        <v>2025</v>
      </c>
      <c r="AN482" t="str" cm="1">
        <f t="array" ref="AN482" xml:space="preserve"> _xlfn.IFS(A482&lt;25,"&lt;25",
A482&lt;=35,"25-35",
A482&lt;=45,"36-45",
TRUE,"45+"
)</f>
        <v>25-35</v>
      </c>
      <c r="AO482" t="str" cm="1">
        <f t="array" ref="AO482">_xlfn.IFS(S482&lt;5000,"Low",
S482&lt;=15000,"Medium",
TRUE,"High")</f>
        <v>Low</v>
      </c>
    </row>
    <row r="483" spans="1:41" hidden="1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 t="str">
        <f t="shared" si="21"/>
        <v>Active</v>
      </c>
      <c r="AK483">
        <f t="shared" ca="1" si="22"/>
        <v>2019</v>
      </c>
      <c r="AL483">
        <f t="shared" si="23"/>
        <v>0</v>
      </c>
      <c r="AM483" t="e" cm="1">
        <f t="array" aca="1" ref="AM483" ca="1">IF(B483="Yes",YEAR(TODAY()),BLANK())</f>
        <v>#NAME?</v>
      </c>
      <c r="AN483" t="str" cm="1">
        <f t="array" ref="AN483" xml:space="preserve"> _xlfn.IFS(A483&lt;25,"&lt;25",
A483&lt;=35,"25-35",
A483&lt;=45,"36-45",
TRUE,"45+"
)</f>
        <v>25-35</v>
      </c>
      <c r="AO483" t="str" cm="1">
        <f t="array" ref="AO483">_xlfn.IFS(S483&lt;5000,"Low",
S483&lt;=15000,"Medium",
TRUE,"High")</f>
        <v>Low</v>
      </c>
    </row>
    <row r="484" spans="1:41" hidden="1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 t="str">
        <f t="shared" si="21"/>
        <v>Resigned</v>
      </c>
      <c r="AK484">
        <f t="shared" ca="1" si="22"/>
        <v>2016</v>
      </c>
      <c r="AL484">
        <f t="shared" si="23"/>
        <v>1</v>
      </c>
      <c r="AM484" cm="1">
        <f t="array" aca="1" ref="AM484" ca="1">IF(B484="Yes",YEAR(TODAY()),BLANK())</f>
        <v>2025</v>
      </c>
      <c r="AN484" t="str" cm="1">
        <f t="array" ref="AN484" xml:space="preserve"> _xlfn.IFS(A484&lt;25,"&lt;25",
A484&lt;=35,"25-35",
A484&lt;=45,"36-45",
TRUE,"45+"
)</f>
        <v>25-35</v>
      </c>
      <c r="AO484" t="str" cm="1">
        <f t="array" ref="AO484">_xlfn.IFS(S484&lt;5000,"Low",
S484&lt;=15000,"Medium",
TRUE,"High")</f>
        <v>Low</v>
      </c>
    </row>
    <row r="485" spans="1:41" hidden="1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 t="str">
        <f t="shared" si="21"/>
        <v>Active</v>
      </c>
      <c r="AK485">
        <f t="shared" ca="1" si="22"/>
        <v>2016</v>
      </c>
      <c r="AL485">
        <f t="shared" si="23"/>
        <v>0</v>
      </c>
      <c r="AM485" t="e" cm="1">
        <f t="array" aca="1" ref="AM485" ca="1">IF(B485="Yes",YEAR(TODAY()),BLANK())</f>
        <v>#NAME?</v>
      </c>
      <c r="AN485" t="str" cm="1">
        <f t="array" ref="AN485" xml:space="preserve"> _xlfn.IFS(A485&lt;25,"&lt;25",
A485&lt;=35,"25-35",
A485&lt;=45,"36-45",
TRUE,"45+"
)</f>
        <v>25-35</v>
      </c>
      <c r="AO485" t="str" cm="1">
        <f t="array" ref="AO485">_xlfn.IFS(S485&lt;5000,"Low",
S485&lt;=15000,"Medium",
TRUE,"High")</f>
        <v>Low</v>
      </c>
    </row>
    <row r="486" spans="1:41" hidden="1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 t="str">
        <f t="shared" si="21"/>
        <v>Active</v>
      </c>
      <c r="AK486">
        <f t="shared" ca="1" si="22"/>
        <v>2012</v>
      </c>
      <c r="AL486">
        <f t="shared" si="23"/>
        <v>0</v>
      </c>
      <c r="AM486" t="e" cm="1">
        <f t="array" aca="1" ref="AM486" ca="1">IF(B486="Yes",YEAR(TODAY()),BLANK())</f>
        <v>#NAME?</v>
      </c>
      <c r="AN486" t="str" cm="1">
        <f t="array" ref="AN486" xml:space="preserve"> _xlfn.IFS(A486&lt;25,"&lt;25",
A486&lt;=35,"25-35",
A486&lt;=45,"36-45",
TRUE,"45+"
)</f>
        <v>25-35</v>
      </c>
      <c r="AO486" t="str" cm="1">
        <f t="array" ref="AO486">_xlfn.IFS(S486&lt;5000,"Low",
S486&lt;=15000,"Medium",
TRUE,"High")</f>
        <v>Medium</v>
      </c>
    </row>
    <row r="487" spans="1:41" hidden="1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 t="str">
        <f t="shared" si="21"/>
        <v>Active</v>
      </c>
      <c r="AK487">
        <f t="shared" ca="1" si="22"/>
        <v>2019</v>
      </c>
      <c r="AL487">
        <f t="shared" si="23"/>
        <v>0</v>
      </c>
      <c r="AM487" t="e" cm="1">
        <f t="array" aca="1" ref="AM487" ca="1">IF(B487="Yes",YEAR(TODAY()),BLANK())</f>
        <v>#NAME?</v>
      </c>
      <c r="AN487" t="str" cm="1">
        <f t="array" ref="AN487" xml:space="preserve"> _xlfn.IFS(A487&lt;25,"&lt;25",
A487&lt;=35,"25-35",
A487&lt;=45,"36-45",
TRUE,"45+"
)</f>
        <v>25-35</v>
      </c>
      <c r="AO487" t="str" cm="1">
        <f t="array" ref="AO487">_xlfn.IFS(S487&lt;5000,"Low",
S487&lt;=15000,"Medium",
TRUE,"High")</f>
        <v>Low</v>
      </c>
    </row>
    <row r="488" spans="1:41" hidden="1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 t="str">
        <f t="shared" si="21"/>
        <v>Active</v>
      </c>
      <c r="AK488">
        <f t="shared" ca="1" si="22"/>
        <v>2008</v>
      </c>
      <c r="AL488">
        <f t="shared" si="23"/>
        <v>0</v>
      </c>
      <c r="AM488" t="e" cm="1">
        <f t="array" aca="1" ref="AM488" ca="1">IF(B488="Yes",YEAR(TODAY()),BLANK())</f>
        <v>#NAME?</v>
      </c>
      <c r="AN488" t="str" cm="1">
        <f t="array" ref="AN488" xml:space="preserve"> _xlfn.IFS(A488&lt;25,"&lt;25",
A488&lt;=35,"25-35",
A488&lt;=45,"36-45",
TRUE,"45+"
)</f>
        <v>36-45</v>
      </c>
      <c r="AO488" t="str" cm="1">
        <f t="array" ref="AO488">_xlfn.IFS(S488&lt;5000,"Low",
S488&lt;=15000,"Medium",
TRUE,"High")</f>
        <v>Medium</v>
      </c>
    </row>
    <row r="489" spans="1:41" hidden="1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 t="str">
        <f t="shared" si="21"/>
        <v>Active</v>
      </c>
      <c r="AK489">
        <f t="shared" ca="1" si="22"/>
        <v>2024</v>
      </c>
      <c r="AL489">
        <f t="shared" si="23"/>
        <v>0</v>
      </c>
      <c r="AM489" t="e" cm="1">
        <f t="array" aca="1" ref="AM489" ca="1">IF(B489="Yes",YEAR(TODAY()),BLANK())</f>
        <v>#NAME?</v>
      </c>
      <c r="AN489" t="str" cm="1">
        <f t="array" ref="AN489" xml:space="preserve"> _xlfn.IFS(A489&lt;25,"&lt;25",
A489&lt;=35,"25-35",
A489&lt;=45,"36-45",
TRUE,"45+"
)</f>
        <v>&lt;25</v>
      </c>
      <c r="AO489" t="str" cm="1">
        <f t="array" ref="AO489">_xlfn.IFS(S489&lt;5000,"Low",
S489&lt;=15000,"Medium",
TRUE,"High")</f>
        <v>Low</v>
      </c>
    </row>
    <row r="490" spans="1:41" hidden="1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 t="str">
        <f t="shared" si="21"/>
        <v>Active</v>
      </c>
      <c r="AK490">
        <f t="shared" ca="1" si="22"/>
        <v>2015</v>
      </c>
      <c r="AL490">
        <f t="shared" si="23"/>
        <v>0</v>
      </c>
      <c r="AM490" t="e" cm="1">
        <f t="array" aca="1" ref="AM490" ca="1">IF(B490="Yes",YEAR(TODAY()),BLANK())</f>
        <v>#NAME?</v>
      </c>
      <c r="AN490" t="str" cm="1">
        <f t="array" ref="AN490" xml:space="preserve"> _xlfn.IFS(A490&lt;25,"&lt;25",
A490&lt;=35,"25-35",
A490&lt;=45,"36-45",
TRUE,"45+"
)</f>
        <v>36-45</v>
      </c>
      <c r="AO490" t="str" cm="1">
        <f t="array" ref="AO490">_xlfn.IFS(S490&lt;5000,"Low",
S490&lt;=15000,"Medium",
TRUE,"High")</f>
        <v>Low</v>
      </c>
    </row>
    <row r="491" spans="1:41" hidden="1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 t="str">
        <f t="shared" si="21"/>
        <v>Active</v>
      </c>
      <c r="AK491">
        <f t="shared" ca="1" si="22"/>
        <v>2004</v>
      </c>
      <c r="AL491">
        <f t="shared" si="23"/>
        <v>0</v>
      </c>
      <c r="AM491" t="e" cm="1">
        <f t="array" aca="1" ref="AM491" ca="1">IF(B491="Yes",YEAR(TODAY()),BLANK())</f>
        <v>#NAME?</v>
      </c>
      <c r="AN491" t="str" cm="1">
        <f t="array" ref="AN491" xml:space="preserve"> _xlfn.IFS(A491&lt;25,"&lt;25",
A491&lt;=35,"25-35",
A491&lt;=45,"36-45",
TRUE,"45+"
)</f>
        <v>36-45</v>
      </c>
      <c r="AO491" t="str" cm="1">
        <f t="array" ref="AO491">_xlfn.IFS(S491&lt;5000,"Low",
S491&lt;=15000,"Medium",
TRUE,"High")</f>
        <v>High</v>
      </c>
    </row>
    <row r="492" spans="1:41" hidden="1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 t="str">
        <f t="shared" si="21"/>
        <v>Active</v>
      </c>
      <c r="AK492">
        <f t="shared" ca="1" si="22"/>
        <v>2017</v>
      </c>
      <c r="AL492">
        <f t="shared" si="23"/>
        <v>0</v>
      </c>
      <c r="AM492" t="e" cm="1">
        <f t="array" aca="1" ref="AM492" ca="1">IF(B492="Yes",YEAR(TODAY()),BLANK())</f>
        <v>#NAME?</v>
      </c>
      <c r="AN492" t="str" cm="1">
        <f t="array" ref="AN492" xml:space="preserve"> _xlfn.IFS(A492&lt;25,"&lt;25",
A492&lt;=35,"25-35",
A492&lt;=45,"36-45",
TRUE,"45+"
)</f>
        <v>36-45</v>
      </c>
      <c r="AO492" t="str" cm="1">
        <f t="array" ref="AO492">_xlfn.IFS(S492&lt;5000,"Low",
S492&lt;=15000,"Medium",
TRUE,"High")</f>
        <v>Low</v>
      </c>
    </row>
    <row r="493" spans="1:41" hidden="1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 t="str">
        <f t="shared" si="21"/>
        <v>Active</v>
      </c>
      <c r="AK493">
        <f t="shared" ca="1" si="22"/>
        <v>2015</v>
      </c>
      <c r="AL493">
        <f t="shared" si="23"/>
        <v>0</v>
      </c>
      <c r="AM493" t="e" cm="1">
        <f t="array" aca="1" ref="AM493" ca="1">IF(B493="Yes",YEAR(TODAY()),BLANK())</f>
        <v>#NAME?</v>
      </c>
      <c r="AN493" t="str" cm="1">
        <f t="array" ref="AN493" xml:space="preserve"> _xlfn.IFS(A493&lt;25,"&lt;25",
A493&lt;=35,"25-35",
A493&lt;=45,"36-45",
TRUE,"45+"
)</f>
        <v>36-45</v>
      </c>
      <c r="AO493" t="str" cm="1">
        <f t="array" ref="AO493">_xlfn.IFS(S493&lt;5000,"Low",
S493&lt;=15000,"Medium",
TRUE,"High")</f>
        <v>Medium</v>
      </c>
    </row>
    <row r="494" spans="1:41" hidden="1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 t="str">
        <f t="shared" si="21"/>
        <v>Active</v>
      </c>
      <c r="AK494">
        <f t="shared" ca="1" si="22"/>
        <v>2004</v>
      </c>
      <c r="AL494">
        <f t="shared" si="23"/>
        <v>0</v>
      </c>
      <c r="AM494" t="e" cm="1">
        <f t="array" aca="1" ref="AM494" ca="1">IF(B494="Yes",YEAR(TODAY()),BLANK())</f>
        <v>#NAME?</v>
      </c>
      <c r="AN494" t="str" cm="1">
        <f t="array" ref="AN494" xml:space="preserve"> _xlfn.IFS(A494&lt;25,"&lt;25",
A494&lt;=35,"25-35",
A494&lt;=45,"36-45",
TRUE,"45+"
)</f>
        <v>45+</v>
      </c>
      <c r="AO494" t="str" cm="1">
        <f t="array" ref="AO494">_xlfn.IFS(S494&lt;5000,"Low",
S494&lt;=15000,"Medium",
TRUE,"High")</f>
        <v>High</v>
      </c>
    </row>
    <row r="495" spans="1:41" hidden="1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 t="str">
        <f t="shared" si="21"/>
        <v>Active</v>
      </c>
      <c r="AK495">
        <f t="shared" ca="1" si="22"/>
        <v>2015</v>
      </c>
      <c r="AL495">
        <f t="shared" si="23"/>
        <v>0</v>
      </c>
      <c r="AM495" t="e" cm="1">
        <f t="array" aca="1" ref="AM495" ca="1">IF(B495="Yes",YEAR(TODAY()),BLANK())</f>
        <v>#NAME?</v>
      </c>
      <c r="AN495" t="str" cm="1">
        <f t="array" ref="AN495" xml:space="preserve"> _xlfn.IFS(A495&lt;25,"&lt;25",
A495&lt;=35,"25-35",
A495&lt;=45,"36-45",
TRUE,"45+"
)</f>
        <v>36-45</v>
      </c>
      <c r="AO495" t="str" cm="1">
        <f t="array" ref="AO495">_xlfn.IFS(S495&lt;5000,"Low",
S495&lt;=15000,"Medium",
TRUE,"High")</f>
        <v>Medium</v>
      </c>
    </row>
    <row r="496" spans="1:41" hidden="1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 t="str">
        <f t="shared" si="21"/>
        <v>Active</v>
      </c>
      <c r="AK496">
        <f t="shared" ca="1" si="22"/>
        <v>2017</v>
      </c>
      <c r="AL496">
        <f t="shared" si="23"/>
        <v>0</v>
      </c>
      <c r="AM496" t="e" cm="1">
        <f t="array" aca="1" ref="AM496" ca="1">IF(B496="Yes",YEAR(TODAY()),BLANK())</f>
        <v>#NAME?</v>
      </c>
      <c r="AN496" t="str" cm="1">
        <f t="array" ref="AN496" xml:space="preserve"> _xlfn.IFS(A496&lt;25,"&lt;25",
A496&lt;=35,"25-35",
A496&lt;=45,"36-45",
TRUE,"45+"
)</f>
        <v>25-35</v>
      </c>
      <c r="AO496" t="str" cm="1">
        <f t="array" ref="AO496">_xlfn.IFS(S496&lt;5000,"Low",
S496&lt;=15000,"Medium",
TRUE,"High")</f>
        <v>Low</v>
      </c>
    </row>
    <row r="497" spans="1:41" hidden="1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 t="str">
        <f t="shared" si="21"/>
        <v>Resigned</v>
      </c>
      <c r="AK497">
        <f t="shared" ca="1" si="22"/>
        <v>2020</v>
      </c>
      <c r="AL497">
        <f t="shared" si="23"/>
        <v>1</v>
      </c>
      <c r="AM497" cm="1">
        <f t="array" aca="1" ref="AM497" ca="1">IF(B497="Yes",YEAR(TODAY()),BLANK())</f>
        <v>2025</v>
      </c>
      <c r="AN497" t="str" cm="1">
        <f t="array" ref="AN497" xml:space="preserve"> _xlfn.IFS(A497&lt;25,"&lt;25",
A497&lt;=35,"25-35",
A497&lt;=45,"36-45",
TRUE,"45+"
)</f>
        <v>25-35</v>
      </c>
      <c r="AO497" t="str" cm="1">
        <f t="array" ref="AO497">_xlfn.IFS(S497&lt;5000,"Low",
S497&lt;=15000,"Medium",
TRUE,"High")</f>
        <v>Low</v>
      </c>
    </row>
    <row r="498" spans="1:41" hidden="1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 t="str">
        <f t="shared" si="21"/>
        <v>Active</v>
      </c>
      <c r="AK498">
        <f t="shared" ca="1" si="22"/>
        <v>2022</v>
      </c>
      <c r="AL498">
        <f t="shared" si="23"/>
        <v>0</v>
      </c>
      <c r="AM498" t="e" cm="1">
        <f t="array" aca="1" ref="AM498" ca="1">IF(B498="Yes",YEAR(TODAY()),BLANK())</f>
        <v>#NAME?</v>
      </c>
      <c r="AN498" t="str" cm="1">
        <f t="array" ref="AN498" xml:space="preserve"> _xlfn.IFS(A498&lt;25,"&lt;25",
A498&lt;=35,"25-35",
A498&lt;=45,"36-45",
TRUE,"45+"
)</f>
        <v>&lt;25</v>
      </c>
      <c r="AO498" t="str" cm="1">
        <f t="array" ref="AO498">_xlfn.IFS(S498&lt;5000,"Low",
S498&lt;=15000,"Medium",
TRUE,"High")</f>
        <v>Low</v>
      </c>
    </row>
    <row r="499" spans="1:41" hidden="1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 t="str">
        <f t="shared" si="21"/>
        <v>Active</v>
      </c>
      <c r="AK499">
        <f t="shared" ca="1" si="22"/>
        <v>1999</v>
      </c>
      <c r="AL499">
        <f t="shared" si="23"/>
        <v>0</v>
      </c>
      <c r="AM499" t="e" cm="1">
        <f t="array" aca="1" ref="AM499" ca="1">IF(B499="Yes",YEAR(TODAY()),BLANK())</f>
        <v>#NAME?</v>
      </c>
      <c r="AN499" t="str" cm="1">
        <f t="array" ref="AN499" xml:space="preserve"> _xlfn.IFS(A499&lt;25,"&lt;25",
A499&lt;=35,"25-35",
A499&lt;=45,"36-45",
TRUE,"45+"
)</f>
        <v>36-45</v>
      </c>
      <c r="AO499" t="str" cm="1">
        <f t="array" ref="AO499">_xlfn.IFS(S499&lt;5000,"Low",
S499&lt;=15000,"Medium",
TRUE,"High")</f>
        <v>High</v>
      </c>
    </row>
    <row r="500" spans="1:41" hidden="1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 t="str">
        <f t="shared" si="21"/>
        <v>Active</v>
      </c>
      <c r="AK500">
        <f t="shared" ca="1" si="22"/>
        <v>2022</v>
      </c>
      <c r="AL500">
        <f t="shared" si="23"/>
        <v>0</v>
      </c>
      <c r="AM500" t="e" cm="1">
        <f t="array" aca="1" ref="AM500" ca="1">IF(B500="Yes",YEAR(TODAY()),BLANK())</f>
        <v>#NAME?</v>
      </c>
      <c r="AN500" t="str" cm="1">
        <f t="array" ref="AN500" xml:space="preserve"> _xlfn.IFS(A500&lt;25,"&lt;25",
A500&lt;=35,"25-35",
A500&lt;=45,"36-45",
TRUE,"45+"
)</f>
        <v>&lt;25</v>
      </c>
      <c r="AO500" t="str" cm="1">
        <f t="array" ref="AO500">_xlfn.IFS(S500&lt;5000,"Low",
S500&lt;=15000,"Medium",
TRUE,"High")</f>
        <v>Low</v>
      </c>
    </row>
    <row r="501" spans="1:41" hidden="1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 t="str">
        <f t="shared" si="21"/>
        <v>Active</v>
      </c>
      <c r="AK501">
        <f t="shared" ca="1" si="22"/>
        <v>2019</v>
      </c>
      <c r="AL501">
        <f t="shared" si="23"/>
        <v>0</v>
      </c>
      <c r="AM501" t="e" cm="1">
        <f t="array" aca="1" ref="AM501" ca="1">IF(B501="Yes",YEAR(TODAY()),BLANK())</f>
        <v>#NAME?</v>
      </c>
      <c r="AN501" t="str" cm="1">
        <f t="array" ref="AN501" xml:space="preserve"> _xlfn.IFS(A501&lt;25,"&lt;25",
A501&lt;=35,"25-35",
A501&lt;=45,"36-45",
TRUE,"45+"
)</f>
        <v>25-35</v>
      </c>
      <c r="AO501" t="str" cm="1">
        <f t="array" ref="AO501">_xlfn.IFS(S501&lt;5000,"Low",
S501&lt;=15000,"Medium",
TRUE,"High")</f>
        <v>Medium</v>
      </c>
    </row>
    <row r="502" spans="1:41" hidden="1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 t="str">
        <f t="shared" si="21"/>
        <v>Active</v>
      </c>
      <c r="AK502">
        <f t="shared" ca="1" si="22"/>
        <v>2019</v>
      </c>
      <c r="AL502">
        <f t="shared" si="23"/>
        <v>0</v>
      </c>
      <c r="AM502" t="e" cm="1">
        <f t="array" aca="1" ref="AM502" ca="1">IF(B502="Yes",YEAR(TODAY()),BLANK())</f>
        <v>#NAME?</v>
      </c>
      <c r="AN502" t="str" cm="1">
        <f t="array" ref="AN502" xml:space="preserve"> _xlfn.IFS(A502&lt;25,"&lt;25",
A502&lt;=35,"25-35",
A502&lt;=45,"36-45",
TRUE,"45+"
)</f>
        <v>25-35</v>
      </c>
      <c r="AO502" t="str" cm="1">
        <f t="array" ref="AO502">_xlfn.IFS(S502&lt;5000,"Low",
S502&lt;=15000,"Medium",
TRUE,"High")</f>
        <v>Medium</v>
      </c>
    </row>
    <row r="503" spans="1:41" hidden="1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 t="str">
        <f t="shared" si="21"/>
        <v>Active</v>
      </c>
      <c r="AK503">
        <f t="shared" ca="1" si="22"/>
        <v>2024</v>
      </c>
      <c r="AL503">
        <f t="shared" si="23"/>
        <v>0</v>
      </c>
      <c r="AM503" t="e" cm="1">
        <f t="array" aca="1" ref="AM503" ca="1">IF(B503="Yes",YEAR(TODAY()),BLANK())</f>
        <v>#NAME?</v>
      </c>
      <c r="AN503" t="str" cm="1">
        <f t="array" ref="AN503" xml:space="preserve"> _xlfn.IFS(A503&lt;25,"&lt;25",
A503&lt;=35,"25-35",
A503&lt;=45,"36-45",
TRUE,"45+"
)</f>
        <v>25-35</v>
      </c>
      <c r="AO503" t="str" cm="1">
        <f t="array" ref="AO503">_xlfn.IFS(S503&lt;5000,"Low",
S503&lt;=15000,"Medium",
TRUE,"High")</f>
        <v>Low</v>
      </c>
    </row>
    <row r="504" spans="1:41" hidden="1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 t="str">
        <f t="shared" si="21"/>
        <v>Active</v>
      </c>
      <c r="AK504">
        <f t="shared" ca="1" si="22"/>
        <v>2007</v>
      </c>
      <c r="AL504">
        <f t="shared" si="23"/>
        <v>0</v>
      </c>
      <c r="AM504" t="e" cm="1">
        <f t="array" aca="1" ref="AM504" ca="1">IF(B504="Yes",YEAR(TODAY()),BLANK())</f>
        <v>#NAME?</v>
      </c>
      <c r="AN504" t="str" cm="1">
        <f t="array" ref="AN504" xml:space="preserve"> _xlfn.IFS(A504&lt;25,"&lt;25",
A504&lt;=35,"25-35",
A504&lt;=45,"36-45",
TRUE,"45+"
)</f>
        <v>45+</v>
      </c>
      <c r="AO504" t="str" cm="1">
        <f t="array" ref="AO504">_xlfn.IFS(S504&lt;5000,"Low",
S504&lt;=15000,"Medium",
TRUE,"High")</f>
        <v>Medium</v>
      </c>
    </row>
    <row r="505" spans="1:41" hidden="1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 t="str">
        <f t="shared" si="21"/>
        <v>Active</v>
      </c>
      <c r="AK505">
        <f t="shared" ca="1" si="22"/>
        <v>2015</v>
      </c>
      <c r="AL505">
        <f t="shared" si="23"/>
        <v>0</v>
      </c>
      <c r="AM505" t="e" cm="1">
        <f t="array" aca="1" ref="AM505" ca="1">IF(B505="Yes",YEAR(TODAY()),BLANK())</f>
        <v>#NAME?</v>
      </c>
      <c r="AN505" t="str" cm="1">
        <f t="array" ref="AN505" xml:space="preserve"> _xlfn.IFS(A505&lt;25,"&lt;25",
A505&lt;=35,"25-35",
A505&lt;=45,"36-45",
TRUE,"45+"
)</f>
        <v>25-35</v>
      </c>
      <c r="AO505" t="str" cm="1">
        <f t="array" ref="AO505">_xlfn.IFS(S505&lt;5000,"Low",
S505&lt;=15000,"Medium",
TRUE,"High")</f>
        <v>Low</v>
      </c>
    </row>
    <row r="506" spans="1:41" hidden="1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 t="str">
        <f t="shared" si="21"/>
        <v>Resigned</v>
      </c>
      <c r="AK506">
        <f t="shared" ca="1" si="22"/>
        <v>2020</v>
      </c>
      <c r="AL506">
        <f t="shared" si="23"/>
        <v>1</v>
      </c>
      <c r="AM506" cm="1">
        <f t="array" aca="1" ref="AM506" ca="1">IF(B506="Yes",YEAR(TODAY()),BLANK())</f>
        <v>2025</v>
      </c>
      <c r="AN506" t="str" cm="1">
        <f t="array" ref="AN506" xml:space="preserve"> _xlfn.IFS(A506&lt;25,"&lt;25",
A506&lt;=35,"25-35",
A506&lt;=45,"36-45",
TRUE,"45+"
)</f>
        <v>36-45</v>
      </c>
      <c r="AO506" t="str" cm="1">
        <f t="array" ref="AO506">_xlfn.IFS(S506&lt;5000,"Low",
S506&lt;=15000,"Medium",
TRUE,"High")</f>
        <v>Low</v>
      </c>
    </row>
    <row r="507" spans="1:41" hidden="1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 t="str">
        <f t="shared" si="21"/>
        <v>Active</v>
      </c>
      <c r="AK507">
        <f t="shared" ca="1" si="22"/>
        <v>2022</v>
      </c>
      <c r="AL507">
        <f t="shared" si="23"/>
        <v>0</v>
      </c>
      <c r="AM507" t="e" cm="1">
        <f t="array" aca="1" ref="AM507" ca="1">IF(B507="Yes",YEAR(TODAY()),BLANK())</f>
        <v>#NAME?</v>
      </c>
      <c r="AN507" t="str" cm="1">
        <f t="array" ref="AN507" xml:space="preserve"> _xlfn.IFS(A507&lt;25,"&lt;25",
A507&lt;=35,"25-35",
A507&lt;=45,"36-45",
TRUE,"45+"
)</f>
        <v>25-35</v>
      </c>
      <c r="AO507" t="str" cm="1">
        <f t="array" ref="AO507">_xlfn.IFS(S507&lt;5000,"Low",
S507&lt;=15000,"Medium",
TRUE,"High")</f>
        <v>Low</v>
      </c>
    </row>
    <row r="508" spans="1:41" hidden="1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 t="str">
        <f t="shared" si="21"/>
        <v>Active</v>
      </c>
      <c r="AK508">
        <f t="shared" ca="1" si="22"/>
        <v>2015</v>
      </c>
      <c r="AL508">
        <f t="shared" si="23"/>
        <v>0</v>
      </c>
      <c r="AM508" t="e" cm="1">
        <f t="array" aca="1" ref="AM508" ca="1">IF(B508="Yes",YEAR(TODAY()),BLANK())</f>
        <v>#NAME?</v>
      </c>
      <c r="AN508" t="str" cm="1">
        <f t="array" ref="AN508" xml:space="preserve"> _xlfn.IFS(A508&lt;25,"&lt;25",
A508&lt;=35,"25-35",
A508&lt;=45,"36-45",
TRUE,"45+"
)</f>
        <v>36-45</v>
      </c>
      <c r="AO508" t="str" cm="1">
        <f t="array" ref="AO508">_xlfn.IFS(S508&lt;5000,"Low",
S508&lt;=15000,"Medium",
TRUE,"High")</f>
        <v>Medium</v>
      </c>
    </row>
    <row r="509" spans="1:41" hidden="1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 t="str">
        <f t="shared" si="21"/>
        <v>Active</v>
      </c>
      <c r="AK509">
        <f t="shared" ca="1" si="22"/>
        <v>2019</v>
      </c>
      <c r="AL509">
        <f t="shared" si="23"/>
        <v>0</v>
      </c>
      <c r="AM509" t="e" cm="1">
        <f t="array" aca="1" ref="AM509" ca="1">IF(B509="Yes",YEAR(TODAY()),BLANK())</f>
        <v>#NAME?</v>
      </c>
      <c r="AN509" t="str" cm="1">
        <f t="array" ref="AN509" xml:space="preserve"> _xlfn.IFS(A509&lt;25,"&lt;25",
A509&lt;=35,"25-35",
A509&lt;=45,"36-45",
TRUE,"45+"
)</f>
        <v>25-35</v>
      </c>
      <c r="AO509" t="str" cm="1">
        <f t="array" ref="AO509">_xlfn.IFS(S509&lt;5000,"Low",
S509&lt;=15000,"Medium",
TRUE,"High")</f>
        <v>Medium</v>
      </c>
    </row>
    <row r="510" spans="1:41" hidden="1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 t="str">
        <f t="shared" si="21"/>
        <v>Active</v>
      </c>
      <c r="AK510">
        <f t="shared" ca="1" si="22"/>
        <v>2008</v>
      </c>
      <c r="AL510">
        <f t="shared" si="23"/>
        <v>0</v>
      </c>
      <c r="AM510" t="e" cm="1">
        <f t="array" aca="1" ref="AM510" ca="1">IF(B510="Yes",YEAR(TODAY()),BLANK())</f>
        <v>#NAME?</v>
      </c>
      <c r="AN510" t="str" cm="1">
        <f t="array" ref="AN510" xml:space="preserve"> _xlfn.IFS(A510&lt;25,"&lt;25",
A510&lt;=35,"25-35",
A510&lt;=45,"36-45",
TRUE,"45+"
)</f>
        <v>25-35</v>
      </c>
      <c r="AO510" t="str" cm="1">
        <f t="array" ref="AO510">_xlfn.IFS(S510&lt;5000,"Low",
S510&lt;=15000,"Medium",
TRUE,"High")</f>
        <v>Medium</v>
      </c>
    </row>
    <row r="511" spans="1:41" hidden="1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 t="str">
        <f t="shared" si="21"/>
        <v>Active</v>
      </c>
      <c r="AK511">
        <f t="shared" ca="1" si="22"/>
        <v>2010</v>
      </c>
      <c r="AL511">
        <f t="shared" si="23"/>
        <v>0</v>
      </c>
      <c r="AM511" t="e" cm="1">
        <f t="array" aca="1" ref="AM511" ca="1">IF(B511="Yes",YEAR(TODAY()),BLANK())</f>
        <v>#NAME?</v>
      </c>
      <c r="AN511" t="str" cm="1">
        <f t="array" ref="AN511" xml:space="preserve"> _xlfn.IFS(A511&lt;25,"&lt;25",
A511&lt;=35,"25-35",
A511&lt;=45,"36-45",
TRUE,"45+"
)</f>
        <v>25-35</v>
      </c>
      <c r="AO511" t="str" cm="1">
        <f t="array" ref="AO511">_xlfn.IFS(S511&lt;5000,"Low",
S511&lt;=15000,"Medium",
TRUE,"High")</f>
        <v>Medium</v>
      </c>
    </row>
    <row r="512" spans="1:41" hidden="1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 t="str">
        <f t="shared" si="21"/>
        <v>Active</v>
      </c>
      <c r="AK512">
        <f t="shared" ca="1" si="22"/>
        <v>2009</v>
      </c>
      <c r="AL512">
        <f t="shared" si="23"/>
        <v>0</v>
      </c>
      <c r="AM512" t="e" cm="1">
        <f t="array" aca="1" ref="AM512" ca="1">IF(B512="Yes",YEAR(TODAY()),BLANK())</f>
        <v>#NAME?</v>
      </c>
      <c r="AN512" t="str" cm="1">
        <f t="array" ref="AN512" xml:space="preserve"> _xlfn.IFS(A512&lt;25,"&lt;25",
A512&lt;=35,"25-35",
A512&lt;=45,"36-45",
TRUE,"45+"
)</f>
        <v>45+</v>
      </c>
      <c r="AO512" t="str" cm="1">
        <f t="array" ref="AO512">_xlfn.IFS(S512&lt;5000,"Low",
S512&lt;=15000,"Medium",
TRUE,"High")</f>
        <v>Medium</v>
      </c>
    </row>
    <row r="513" spans="1:41" hidden="1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 t="str">
        <f t="shared" si="21"/>
        <v>Active</v>
      </c>
      <c r="AK513">
        <f t="shared" ca="1" si="22"/>
        <v>2012</v>
      </c>
      <c r="AL513">
        <f t="shared" si="23"/>
        <v>0</v>
      </c>
      <c r="AM513" t="e" cm="1">
        <f t="array" aca="1" ref="AM513" ca="1">IF(B513="Yes",YEAR(TODAY()),BLANK())</f>
        <v>#NAME?</v>
      </c>
      <c r="AN513" t="str" cm="1">
        <f t="array" ref="AN513" xml:space="preserve"> _xlfn.IFS(A513&lt;25,"&lt;25",
A513&lt;=35,"25-35",
A513&lt;=45,"36-45",
TRUE,"45+"
)</f>
        <v>36-45</v>
      </c>
      <c r="AO513" t="str" cm="1">
        <f t="array" ref="AO513">_xlfn.IFS(S513&lt;5000,"Low",
S513&lt;=15000,"Medium",
TRUE,"High")</f>
        <v>Medium</v>
      </c>
    </row>
    <row r="514" spans="1:41" hidden="1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 t="str">
        <f t="shared" si="21"/>
        <v>Active</v>
      </c>
      <c r="AK514">
        <f t="shared" ca="1" si="22"/>
        <v>2020</v>
      </c>
      <c r="AL514">
        <f t="shared" si="23"/>
        <v>0</v>
      </c>
      <c r="AM514" t="e" cm="1">
        <f t="array" aca="1" ref="AM514" ca="1">IF(B514="Yes",YEAR(TODAY()),BLANK())</f>
        <v>#NAME?</v>
      </c>
      <c r="AN514" t="str" cm="1">
        <f t="array" ref="AN514" xml:space="preserve"> _xlfn.IFS(A514&lt;25,"&lt;25",
A514&lt;=35,"25-35",
A514&lt;=45,"36-45",
TRUE,"45+"
)</f>
        <v>25-35</v>
      </c>
      <c r="AO514" t="str" cm="1">
        <f t="array" ref="AO514">_xlfn.IFS(S514&lt;5000,"Low",
S514&lt;=15000,"Medium",
TRUE,"High")</f>
        <v>Low</v>
      </c>
    </row>
    <row r="515" spans="1:41" hidden="1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 t="str">
        <f t="shared" ref="AJ515:AJ578" si="24">IF(B515="Yes", "Resigned","Active")</f>
        <v>Resigned</v>
      </c>
      <c r="AK515">
        <f t="shared" ref="AK515:AK578" ca="1" si="25">YEAR(TODAY()) - AC515</f>
        <v>2024</v>
      </c>
      <c r="AL515">
        <f t="shared" ref="AL515:AL578" si="26">IF(B515="Yes",1,0)</f>
        <v>1</v>
      </c>
      <c r="AM515" cm="1">
        <f t="array" aca="1" ref="AM515" ca="1">IF(B515="Yes",YEAR(TODAY()),BLANK())</f>
        <v>2025</v>
      </c>
      <c r="AN515" t="str" cm="1">
        <f t="array" ref="AN515" xml:space="preserve"> _xlfn.IFS(A515&lt;25,"&lt;25",
A515&lt;=35,"25-35",
A515&lt;=45,"36-45",
TRUE,"45+"
)</f>
        <v>&lt;25</v>
      </c>
      <c r="AO515" t="str" cm="1">
        <f t="array" ref="AO515">_xlfn.IFS(S515&lt;5000,"Low",
S515&lt;=15000,"Medium",
TRUE,"High")</f>
        <v>Low</v>
      </c>
    </row>
    <row r="516" spans="1:41" hidden="1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 t="str">
        <f t="shared" si="24"/>
        <v>Resigned</v>
      </c>
      <c r="AK516">
        <f t="shared" ca="1" si="25"/>
        <v>2015</v>
      </c>
      <c r="AL516">
        <f t="shared" si="26"/>
        <v>1</v>
      </c>
      <c r="AM516" cm="1">
        <f t="array" aca="1" ref="AM516" ca="1">IF(B516="Yes",YEAR(TODAY()),BLANK())</f>
        <v>2025</v>
      </c>
      <c r="AN516" t="str" cm="1">
        <f t="array" ref="AN516" xml:space="preserve"> _xlfn.IFS(A516&lt;25,"&lt;25",
A516&lt;=35,"25-35",
A516&lt;=45,"36-45",
TRUE,"45+"
)</f>
        <v>25-35</v>
      </c>
      <c r="AO516" t="str" cm="1">
        <f t="array" ref="AO516">_xlfn.IFS(S516&lt;5000,"Low",
S516&lt;=15000,"Medium",
TRUE,"High")</f>
        <v>Low</v>
      </c>
    </row>
    <row r="517" spans="1:41" hidden="1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 t="str">
        <f t="shared" si="24"/>
        <v>Active</v>
      </c>
      <c r="AK517">
        <f t="shared" ca="1" si="25"/>
        <v>2024</v>
      </c>
      <c r="AL517">
        <f t="shared" si="26"/>
        <v>0</v>
      </c>
      <c r="AM517" t="e" cm="1">
        <f t="array" aca="1" ref="AM517" ca="1">IF(B517="Yes",YEAR(TODAY()),BLANK())</f>
        <v>#NAME?</v>
      </c>
      <c r="AN517" t="str" cm="1">
        <f t="array" ref="AN517" xml:space="preserve"> _xlfn.IFS(A517&lt;25,"&lt;25",
A517&lt;=35,"25-35",
A517&lt;=45,"36-45",
TRUE,"45+"
)</f>
        <v>25-35</v>
      </c>
      <c r="AO517" t="str" cm="1">
        <f t="array" ref="AO517">_xlfn.IFS(S517&lt;5000,"Low",
S517&lt;=15000,"Medium",
TRUE,"High")</f>
        <v>Low</v>
      </c>
    </row>
    <row r="518" spans="1:41" hidden="1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 t="str">
        <f t="shared" si="24"/>
        <v>Active</v>
      </c>
      <c r="AK518">
        <f t="shared" ca="1" si="25"/>
        <v>2020</v>
      </c>
      <c r="AL518">
        <f t="shared" si="26"/>
        <v>0</v>
      </c>
      <c r="AM518" t="e" cm="1">
        <f t="array" aca="1" ref="AM518" ca="1">IF(B518="Yes",YEAR(TODAY()),BLANK())</f>
        <v>#NAME?</v>
      </c>
      <c r="AN518" t="str" cm="1">
        <f t="array" ref="AN518" xml:space="preserve"> _xlfn.IFS(A518&lt;25,"&lt;25",
A518&lt;=35,"25-35",
A518&lt;=45,"36-45",
TRUE,"45+"
)</f>
        <v>&lt;25</v>
      </c>
      <c r="AO518" t="str" cm="1">
        <f t="array" ref="AO518">_xlfn.IFS(S518&lt;5000,"Low",
S518&lt;=15000,"Medium",
TRUE,"High")</f>
        <v>Low</v>
      </c>
    </row>
    <row r="519" spans="1:41" hidden="1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 t="str">
        <f t="shared" si="24"/>
        <v>Active</v>
      </c>
      <c r="AK519">
        <f t="shared" ca="1" si="25"/>
        <v>2021</v>
      </c>
      <c r="AL519">
        <f t="shared" si="26"/>
        <v>0</v>
      </c>
      <c r="AM519" t="e" cm="1">
        <f t="array" aca="1" ref="AM519" ca="1">IF(B519="Yes",YEAR(TODAY()),BLANK())</f>
        <v>#NAME?</v>
      </c>
      <c r="AN519" t="str" cm="1">
        <f t="array" ref="AN519" xml:space="preserve"> _xlfn.IFS(A519&lt;25,"&lt;25",
A519&lt;=35,"25-35",
A519&lt;=45,"36-45",
TRUE,"45+"
)</f>
        <v>25-35</v>
      </c>
      <c r="AO519" t="str" cm="1">
        <f t="array" ref="AO519">_xlfn.IFS(S519&lt;5000,"Low",
S519&lt;=15000,"Medium",
TRUE,"High")</f>
        <v>Low</v>
      </c>
    </row>
    <row r="520" spans="1:41" hidden="1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 t="str">
        <f t="shared" si="24"/>
        <v>Active</v>
      </c>
      <c r="AK520">
        <f t="shared" ca="1" si="25"/>
        <v>2017</v>
      </c>
      <c r="AL520">
        <f t="shared" si="26"/>
        <v>0</v>
      </c>
      <c r="AM520" t="e" cm="1">
        <f t="array" aca="1" ref="AM520" ca="1">IF(B520="Yes",YEAR(TODAY()),BLANK())</f>
        <v>#NAME?</v>
      </c>
      <c r="AN520" t="str" cm="1">
        <f t="array" ref="AN520" xml:space="preserve"> _xlfn.IFS(A520&lt;25,"&lt;25",
A520&lt;=35,"25-35",
A520&lt;=45,"36-45",
TRUE,"45+"
)</f>
        <v>36-45</v>
      </c>
      <c r="AO520" t="str" cm="1">
        <f t="array" ref="AO520">_xlfn.IFS(S520&lt;5000,"Low",
S520&lt;=15000,"Medium",
TRUE,"High")</f>
        <v>Low</v>
      </c>
    </row>
    <row r="521" spans="1:41" hidden="1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 t="str">
        <f t="shared" si="24"/>
        <v>Active</v>
      </c>
      <c r="AK521">
        <f t="shared" ca="1" si="25"/>
        <v>2015</v>
      </c>
      <c r="AL521">
        <f t="shared" si="26"/>
        <v>0</v>
      </c>
      <c r="AM521" t="e" cm="1">
        <f t="array" aca="1" ref="AM521" ca="1">IF(B521="Yes",YEAR(TODAY()),BLANK())</f>
        <v>#NAME?</v>
      </c>
      <c r="AN521" t="str" cm="1">
        <f t="array" ref="AN521" xml:space="preserve"> _xlfn.IFS(A521&lt;25,"&lt;25",
A521&lt;=35,"25-35",
A521&lt;=45,"36-45",
TRUE,"45+"
)</f>
        <v>25-35</v>
      </c>
      <c r="AO521" t="str" cm="1">
        <f t="array" ref="AO521">_xlfn.IFS(S521&lt;5000,"Low",
S521&lt;=15000,"Medium",
TRUE,"High")</f>
        <v>Low</v>
      </c>
    </row>
    <row r="522" spans="1:41" hidden="1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 t="str">
        <f t="shared" si="24"/>
        <v>Active</v>
      </c>
      <c r="AK522">
        <f t="shared" ca="1" si="25"/>
        <v>2013</v>
      </c>
      <c r="AL522">
        <f t="shared" si="26"/>
        <v>0</v>
      </c>
      <c r="AM522" t="e" cm="1">
        <f t="array" aca="1" ref="AM522" ca="1">IF(B522="Yes",YEAR(TODAY()),BLANK())</f>
        <v>#NAME?</v>
      </c>
      <c r="AN522" t="str" cm="1">
        <f t="array" ref="AN522" xml:space="preserve"> _xlfn.IFS(A522&lt;25,"&lt;25",
A522&lt;=35,"25-35",
A522&lt;=45,"36-45",
TRUE,"45+"
)</f>
        <v>45+</v>
      </c>
      <c r="AO522" t="str" cm="1">
        <f t="array" ref="AO522">_xlfn.IFS(S522&lt;5000,"Low",
S522&lt;=15000,"Medium",
TRUE,"High")</f>
        <v>Medium</v>
      </c>
    </row>
    <row r="523" spans="1:41" hidden="1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 t="str">
        <f t="shared" si="24"/>
        <v>Active</v>
      </c>
      <c r="AK523">
        <f t="shared" ca="1" si="25"/>
        <v>2019</v>
      </c>
      <c r="AL523">
        <f t="shared" si="26"/>
        <v>0</v>
      </c>
      <c r="AM523" t="e" cm="1">
        <f t="array" aca="1" ref="AM523" ca="1">IF(B523="Yes",YEAR(TODAY()),BLANK())</f>
        <v>#NAME?</v>
      </c>
      <c r="AN523" t="str" cm="1">
        <f t="array" ref="AN523" xml:space="preserve"> _xlfn.IFS(A523&lt;25,"&lt;25",
A523&lt;=35,"25-35",
A523&lt;=45,"36-45",
TRUE,"45+"
)</f>
        <v>25-35</v>
      </c>
      <c r="AO523" t="str" cm="1">
        <f t="array" ref="AO523">_xlfn.IFS(S523&lt;5000,"Low",
S523&lt;=15000,"Medium",
TRUE,"High")</f>
        <v>Low</v>
      </c>
    </row>
    <row r="524" spans="1:41" hidden="1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 t="str">
        <f t="shared" si="24"/>
        <v>Active</v>
      </c>
      <c r="AK524">
        <f t="shared" ca="1" si="25"/>
        <v>2021</v>
      </c>
      <c r="AL524">
        <f t="shared" si="26"/>
        <v>0</v>
      </c>
      <c r="AM524" t="e" cm="1">
        <f t="array" aca="1" ref="AM524" ca="1">IF(B524="Yes",YEAR(TODAY()),BLANK())</f>
        <v>#NAME?</v>
      </c>
      <c r="AN524" t="str" cm="1">
        <f t="array" ref="AN524" xml:space="preserve"> _xlfn.IFS(A524&lt;25,"&lt;25",
A524&lt;=35,"25-35",
A524&lt;=45,"36-45",
TRUE,"45+"
)</f>
        <v>36-45</v>
      </c>
      <c r="AO524" t="str" cm="1">
        <f t="array" ref="AO524">_xlfn.IFS(S524&lt;5000,"Low",
S524&lt;=15000,"Medium",
TRUE,"High")</f>
        <v>Low</v>
      </c>
    </row>
    <row r="525" spans="1:41" hidden="1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 t="str">
        <f t="shared" si="24"/>
        <v>Active</v>
      </c>
      <c r="AK525">
        <f t="shared" ca="1" si="25"/>
        <v>2005</v>
      </c>
      <c r="AL525">
        <f t="shared" si="26"/>
        <v>0</v>
      </c>
      <c r="AM525" t="e" cm="1">
        <f t="array" aca="1" ref="AM525" ca="1">IF(B525="Yes",YEAR(TODAY()),BLANK())</f>
        <v>#NAME?</v>
      </c>
      <c r="AN525" t="str" cm="1">
        <f t="array" ref="AN525" xml:space="preserve"> _xlfn.IFS(A525&lt;25,"&lt;25",
A525&lt;=35,"25-35",
A525&lt;=45,"36-45",
TRUE,"45+"
)</f>
        <v>45+</v>
      </c>
      <c r="AO525" t="str" cm="1">
        <f t="array" ref="AO525">_xlfn.IFS(S525&lt;5000,"Low",
S525&lt;=15000,"Medium",
TRUE,"High")</f>
        <v>Low</v>
      </c>
    </row>
    <row r="526" spans="1:41" hidden="1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 t="str">
        <f t="shared" si="24"/>
        <v>Active</v>
      </c>
      <c r="AK526">
        <f t="shared" ca="1" si="25"/>
        <v>2016</v>
      </c>
      <c r="AL526">
        <f t="shared" si="26"/>
        <v>0</v>
      </c>
      <c r="AM526" t="e" cm="1">
        <f t="array" aca="1" ref="AM526" ca="1">IF(B526="Yes",YEAR(TODAY()),BLANK())</f>
        <v>#NAME?</v>
      </c>
      <c r="AN526" t="str" cm="1">
        <f t="array" ref="AN526" xml:space="preserve"> _xlfn.IFS(A526&lt;25,"&lt;25",
A526&lt;=35,"25-35",
A526&lt;=45,"36-45",
TRUE,"45+"
)</f>
        <v>25-35</v>
      </c>
      <c r="AO526" t="str" cm="1">
        <f t="array" ref="AO526">_xlfn.IFS(S526&lt;5000,"Low",
S526&lt;=15000,"Medium",
TRUE,"High")</f>
        <v>Medium</v>
      </c>
    </row>
    <row r="527" spans="1:41" hidden="1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 t="str">
        <f t="shared" si="24"/>
        <v>Resigned</v>
      </c>
      <c r="AK527">
        <f t="shared" ca="1" si="25"/>
        <v>2021</v>
      </c>
      <c r="AL527">
        <f t="shared" si="26"/>
        <v>1</v>
      </c>
      <c r="AM527" cm="1">
        <f t="array" aca="1" ref="AM527" ca="1">IF(B527="Yes",YEAR(TODAY()),BLANK())</f>
        <v>2025</v>
      </c>
      <c r="AN527" t="str" cm="1">
        <f t="array" ref="AN527" xml:space="preserve"> _xlfn.IFS(A527&lt;25,"&lt;25",
A527&lt;=35,"25-35",
A527&lt;=45,"36-45",
TRUE,"45+"
)</f>
        <v>&lt;25</v>
      </c>
      <c r="AO527" t="str" cm="1">
        <f t="array" ref="AO527">_xlfn.IFS(S527&lt;5000,"Low",
S527&lt;=15000,"Medium",
TRUE,"High")</f>
        <v>Low</v>
      </c>
    </row>
    <row r="528" spans="1:41" hidden="1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 t="str">
        <f t="shared" si="24"/>
        <v>Active</v>
      </c>
      <c r="AK528">
        <f t="shared" ca="1" si="25"/>
        <v>2005</v>
      </c>
      <c r="AL528">
        <f t="shared" si="26"/>
        <v>0</v>
      </c>
      <c r="AM528" t="e" cm="1">
        <f t="array" aca="1" ref="AM528" ca="1">IF(B528="Yes",YEAR(TODAY()),BLANK())</f>
        <v>#NAME?</v>
      </c>
      <c r="AN528" t="str" cm="1">
        <f t="array" ref="AN528" xml:space="preserve"> _xlfn.IFS(A528&lt;25,"&lt;25",
A528&lt;=35,"25-35",
A528&lt;=45,"36-45",
TRUE,"45+"
)</f>
        <v>36-45</v>
      </c>
      <c r="AO528" t="str" cm="1">
        <f t="array" ref="AO528">_xlfn.IFS(S528&lt;5000,"Low",
S528&lt;=15000,"Medium",
TRUE,"High")</f>
        <v>Low</v>
      </c>
    </row>
    <row r="529" spans="1:41" hidden="1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 t="str">
        <f t="shared" si="24"/>
        <v>Active</v>
      </c>
      <c r="AK529">
        <f t="shared" ca="1" si="25"/>
        <v>2015</v>
      </c>
      <c r="AL529">
        <f t="shared" si="26"/>
        <v>0</v>
      </c>
      <c r="AM529" t="e" cm="1">
        <f t="array" aca="1" ref="AM529" ca="1">IF(B529="Yes",YEAR(TODAY()),BLANK())</f>
        <v>#NAME?</v>
      </c>
      <c r="AN529" t="str" cm="1">
        <f t="array" ref="AN529" xml:space="preserve"> _xlfn.IFS(A529&lt;25,"&lt;25",
A529&lt;=35,"25-35",
A529&lt;=45,"36-45",
TRUE,"45+"
)</f>
        <v>25-35</v>
      </c>
      <c r="AO529" t="str" cm="1">
        <f t="array" ref="AO529">_xlfn.IFS(S529&lt;5000,"Low",
S529&lt;=15000,"Medium",
TRUE,"High")</f>
        <v>Medium</v>
      </c>
    </row>
    <row r="530" spans="1:41" hidden="1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 t="str">
        <f t="shared" si="24"/>
        <v>Resigned</v>
      </c>
      <c r="AK530">
        <f t="shared" ca="1" si="25"/>
        <v>2007</v>
      </c>
      <c r="AL530">
        <f t="shared" si="26"/>
        <v>1</v>
      </c>
      <c r="AM530" cm="1">
        <f t="array" aca="1" ref="AM530" ca="1">IF(B530="Yes",YEAR(TODAY()),BLANK())</f>
        <v>2025</v>
      </c>
      <c r="AN530" t="str" cm="1">
        <f t="array" ref="AN530" xml:space="preserve"> _xlfn.IFS(A530&lt;25,"&lt;25",
A530&lt;=35,"25-35",
A530&lt;=45,"36-45",
TRUE,"45+"
)</f>
        <v>45+</v>
      </c>
      <c r="AO530" t="str" cm="1">
        <f t="array" ref="AO530">_xlfn.IFS(S530&lt;5000,"Low",
S530&lt;=15000,"Medium",
TRUE,"High")</f>
        <v>Medium</v>
      </c>
    </row>
    <row r="531" spans="1:41" hidden="1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 t="str">
        <f t="shared" si="24"/>
        <v>Active</v>
      </c>
      <c r="AK531">
        <f t="shared" ca="1" si="25"/>
        <v>2015</v>
      </c>
      <c r="AL531">
        <f t="shared" si="26"/>
        <v>0</v>
      </c>
      <c r="AM531" t="e" cm="1">
        <f t="array" aca="1" ref="AM531" ca="1">IF(B531="Yes",YEAR(TODAY()),BLANK())</f>
        <v>#NAME?</v>
      </c>
      <c r="AN531" t="str" cm="1">
        <f t="array" ref="AN531" xml:space="preserve"> _xlfn.IFS(A531&lt;25,"&lt;25",
A531&lt;=35,"25-35",
A531&lt;=45,"36-45",
TRUE,"45+"
)</f>
        <v>36-45</v>
      </c>
      <c r="AO531" t="str" cm="1">
        <f t="array" ref="AO531">_xlfn.IFS(S531&lt;5000,"Low",
S531&lt;=15000,"Medium",
TRUE,"High")</f>
        <v>Medium</v>
      </c>
    </row>
    <row r="532" spans="1:41" hidden="1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 t="str">
        <f t="shared" si="24"/>
        <v>Active</v>
      </c>
      <c r="AK532">
        <f t="shared" ca="1" si="25"/>
        <v>2016</v>
      </c>
      <c r="AL532">
        <f t="shared" si="26"/>
        <v>0</v>
      </c>
      <c r="AM532" t="e" cm="1">
        <f t="array" aca="1" ref="AM532" ca="1">IF(B532="Yes",YEAR(TODAY()),BLANK())</f>
        <v>#NAME?</v>
      </c>
      <c r="AN532" t="str" cm="1">
        <f t="array" ref="AN532" xml:space="preserve"> _xlfn.IFS(A532&lt;25,"&lt;25",
A532&lt;=35,"25-35",
A532&lt;=45,"36-45",
TRUE,"45+"
)</f>
        <v>25-35</v>
      </c>
      <c r="AO532" t="str" cm="1">
        <f t="array" ref="AO532">_xlfn.IFS(S532&lt;5000,"Low",
S532&lt;=15000,"Medium",
TRUE,"High")</f>
        <v>Medium</v>
      </c>
    </row>
    <row r="533" spans="1:41" hidden="1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 t="str">
        <f t="shared" si="24"/>
        <v>Active</v>
      </c>
      <c r="AK533">
        <f t="shared" ca="1" si="25"/>
        <v>2015</v>
      </c>
      <c r="AL533">
        <f t="shared" si="26"/>
        <v>0</v>
      </c>
      <c r="AM533" t="e" cm="1">
        <f t="array" aca="1" ref="AM533" ca="1">IF(B533="Yes",YEAR(TODAY()),BLANK())</f>
        <v>#NAME?</v>
      </c>
      <c r="AN533" t="str" cm="1">
        <f t="array" ref="AN533" xml:space="preserve"> _xlfn.IFS(A533&lt;25,"&lt;25",
A533&lt;=35,"25-35",
A533&lt;=45,"36-45",
TRUE,"45+"
)</f>
        <v>25-35</v>
      </c>
      <c r="AO533" t="str" cm="1">
        <f t="array" ref="AO533">_xlfn.IFS(S533&lt;5000,"Low",
S533&lt;=15000,"Medium",
TRUE,"High")</f>
        <v>Medium</v>
      </c>
    </row>
    <row r="534" spans="1:41" hidden="1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 t="str">
        <f t="shared" si="24"/>
        <v>Active</v>
      </c>
      <c r="AK534">
        <f t="shared" ca="1" si="25"/>
        <v>2005</v>
      </c>
      <c r="AL534">
        <f t="shared" si="26"/>
        <v>0</v>
      </c>
      <c r="AM534" t="e" cm="1">
        <f t="array" aca="1" ref="AM534" ca="1">IF(B534="Yes",YEAR(TODAY()),BLANK())</f>
        <v>#NAME?</v>
      </c>
      <c r="AN534" t="str" cm="1">
        <f t="array" ref="AN534" xml:space="preserve"> _xlfn.IFS(A534&lt;25,"&lt;25",
A534&lt;=35,"25-35",
A534&lt;=45,"36-45",
TRUE,"45+"
)</f>
        <v>45+</v>
      </c>
      <c r="AO534" t="str" cm="1">
        <f t="array" ref="AO534">_xlfn.IFS(S534&lt;5000,"Low",
S534&lt;=15000,"Medium",
TRUE,"High")</f>
        <v>Low</v>
      </c>
    </row>
    <row r="535" spans="1:41" hidden="1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 t="str">
        <f t="shared" si="24"/>
        <v>Active</v>
      </c>
      <c r="AK535">
        <f t="shared" ca="1" si="25"/>
        <v>2005</v>
      </c>
      <c r="AL535">
        <f t="shared" si="26"/>
        <v>0</v>
      </c>
      <c r="AM535" t="e" cm="1">
        <f t="array" aca="1" ref="AM535" ca="1">IF(B535="Yes",YEAR(TODAY()),BLANK())</f>
        <v>#NAME?</v>
      </c>
      <c r="AN535" t="str" cm="1">
        <f t="array" ref="AN535" xml:space="preserve"> _xlfn.IFS(A535&lt;25,"&lt;25",
A535&lt;=35,"25-35",
A535&lt;=45,"36-45",
TRUE,"45+"
)</f>
        <v>36-45</v>
      </c>
      <c r="AO535" t="str" cm="1">
        <f t="array" ref="AO535">_xlfn.IFS(S535&lt;5000,"Low",
S535&lt;=15000,"Medium",
TRUE,"High")</f>
        <v>Medium</v>
      </c>
    </row>
    <row r="536" spans="1:41" hidden="1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 t="str">
        <f t="shared" si="24"/>
        <v>Active</v>
      </c>
      <c r="AK536">
        <f t="shared" ca="1" si="25"/>
        <v>1993</v>
      </c>
      <c r="AL536">
        <f t="shared" si="26"/>
        <v>0</v>
      </c>
      <c r="AM536" t="e" cm="1">
        <f t="array" aca="1" ref="AM536" ca="1">IF(B536="Yes",YEAR(TODAY()),BLANK())</f>
        <v>#NAME?</v>
      </c>
      <c r="AN536" t="str" cm="1">
        <f t="array" ref="AN536" xml:space="preserve"> _xlfn.IFS(A536&lt;25,"&lt;25",
A536&lt;=35,"25-35",
A536&lt;=45,"36-45",
TRUE,"45+"
)</f>
        <v>45+</v>
      </c>
      <c r="AO536" t="str" cm="1">
        <f t="array" ref="AO536">_xlfn.IFS(S536&lt;5000,"Low",
S536&lt;=15000,"Medium",
TRUE,"High")</f>
        <v>Medium</v>
      </c>
    </row>
    <row r="537" spans="1:41" hidden="1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 t="str">
        <f t="shared" si="24"/>
        <v>Active</v>
      </c>
      <c r="AK537">
        <f t="shared" ca="1" si="25"/>
        <v>2002</v>
      </c>
      <c r="AL537">
        <f t="shared" si="26"/>
        <v>0</v>
      </c>
      <c r="AM537" t="e" cm="1">
        <f t="array" aca="1" ref="AM537" ca="1">IF(B537="Yes",YEAR(TODAY()),BLANK())</f>
        <v>#NAME?</v>
      </c>
      <c r="AN537" t="str" cm="1">
        <f t="array" ref="AN537" xml:space="preserve"> _xlfn.IFS(A537&lt;25,"&lt;25",
A537&lt;=35,"25-35",
A537&lt;=45,"36-45",
TRUE,"45+"
)</f>
        <v>36-45</v>
      </c>
      <c r="AO537" t="str" cm="1">
        <f t="array" ref="AO537">_xlfn.IFS(S537&lt;5000,"Low",
S537&lt;=15000,"Medium",
TRUE,"High")</f>
        <v>High</v>
      </c>
    </row>
    <row r="538" spans="1:41" hidden="1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 t="str">
        <f t="shared" si="24"/>
        <v>Active</v>
      </c>
      <c r="AK538">
        <f t="shared" ca="1" si="25"/>
        <v>2015</v>
      </c>
      <c r="AL538">
        <f t="shared" si="26"/>
        <v>0</v>
      </c>
      <c r="AM538" t="e" cm="1">
        <f t="array" aca="1" ref="AM538" ca="1">IF(B538="Yes",YEAR(TODAY()),BLANK())</f>
        <v>#NAME?</v>
      </c>
      <c r="AN538" t="str" cm="1">
        <f t="array" ref="AN538" xml:space="preserve"> _xlfn.IFS(A538&lt;25,"&lt;25",
A538&lt;=35,"25-35",
A538&lt;=45,"36-45",
TRUE,"45+"
)</f>
        <v>45+</v>
      </c>
      <c r="AO538" t="str" cm="1">
        <f t="array" ref="AO538">_xlfn.IFS(S538&lt;5000,"Low",
S538&lt;=15000,"Medium",
TRUE,"High")</f>
        <v>Medium</v>
      </c>
    </row>
    <row r="539" spans="1:41" hidden="1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 t="str">
        <f t="shared" si="24"/>
        <v>Active</v>
      </c>
      <c r="AK539">
        <f t="shared" ca="1" si="25"/>
        <v>2016</v>
      </c>
      <c r="AL539">
        <f t="shared" si="26"/>
        <v>0</v>
      </c>
      <c r="AM539" t="e" cm="1">
        <f t="array" aca="1" ref="AM539" ca="1">IF(B539="Yes",YEAR(TODAY()),BLANK())</f>
        <v>#NAME?</v>
      </c>
      <c r="AN539" t="str" cm="1">
        <f t="array" ref="AN539" xml:space="preserve"> _xlfn.IFS(A539&lt;25,"&lt;25",
A539&lt;=35,"25-35",
A539&lt;=45,"36-45",
TRUE,"45+"
)</f>
        <v>25-35</v>
      </c>
      <c r="AO539" t="str" cm="1">
        <f t="array" ref="AO539">_xlfn.IFS(S539&lt;5000,"Low",
S539&lt;=15000,"Medium",
TRUE,"High")</f>
        <v>Medium</v>
      </c>
    </row>
    <row r="540" spans="1:41" hidden="1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 t="str">
        <f t="shared" si="24"/>
        <v>Active</v>
      </c>
      <c r="AK540">
        <f t="shared" ca="1" si="25"/>
        <v>2003</v>
      </c>
      <c r="AL540">
        <f t="shared" si="26"/>
        <v>0</v>
      </c>
      <c r="AM540" t="e" cm="1">
        <f t="array" aca="1" ref="AM540" ca="1">IF(B540="Yes",YEAR(TODAY()),BLANK())</f>
        <v>#NAME?</v>
      </c>
      <c r="AN540" t="str" cm="1">
        <f t="array" ref="AN540" xml:space="preserve"> _xlfn.IFS(A540&lt;25,"&lt;25",
A540&lt;=35,"25-35",
A540&lt;=45,"36-45",
TRUE,"45+"
)</f>
        <v>36-45</v>
      </c>
      <c r="AO540" t="str" cm="1">
        <f t="array" ref="AO540">_xlfn.IFS(S540&lt;5000,"Low",
S540&lt;=15000,"Medium",
TRUE,"High")</f>
        <v>High</v>
      </c>
    </row>
    <row r="541" spans="1:41" hidden="1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 t="str">
        <f t="shared" si="24"/>
        <v>Active</v>
      </c>
      <c r="AK541">
        <f t="shared" ca="1" si="25"/>
        <v>2021</v>
      </c>
      <c r="AL541">
        <f t="shared" si="26"/>
        <v>0</v>
      </c>
      <c r="AM541" t="e" cm="1">
        <f t="array" aca="1" ref="AM541" ca="1">IF(B541="Yes",YEAR(TODAY()),BLANK())</f>
        <v>#NAME?</v>
      </c>
      <c r="AN541" t="str" cm="1">
        <f t="array" ref="AN541" xml:space="preserve"> _xlfn.IFS(A541&lt;25,"&lt;25",
A541&lt;=35,"25-35",
A541&lt;=45,"36-45",
TRUE,"45+"
)</f>
        <v>45+</v>
      </c>
      <c r="AO541" t="str" cm="1">
        <f t="array" ref="AO541">_xlfn.IFS(S541&lt;5000,"Low",
S541&lt;=15000,"Medium",
TRUE,"High")</f>
        <v>Low</v>
      </c>
    </row>
    <row r="542" spans="1:41" hidden="1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 t="str">
        <f t="shared" si="24"/>
        <v>Resigned</v>
      </c>
      <c r="AK542">
        <f t="shared" ca="1" si="25"/>
        <v>2015</v>
      </c>
      <c r="AL542">
        <f t="shared" si="26"/>
        <v>1</v>
      </c>
      <c r="AM542" cm="1">
        <f t="array" aca="1" ref="AM542" ca="1">IF(B542="Yes",YEAR(TODAY()),BLANK())</f>
        <v>2025</v>
      </c>
      <c r="AN542" t="str" cm="1">
        <f t="array" ref="AN542" xml:space="preserve"> _xlfn.IFS(A542&lt;25,"&lt;25",
A542&lt;=35,"25-35",
A542&lt;=45,"36-45",
TRUE,"45+"
)</f>
        <v>25-35</v>
      </c>
      <c r="AO542" t="str" cm="1">
        <f t="array" ref="AO542">_xlfn.IFS(S542&lt;5000,"Low",
S542&lt;=15000,"Medium",
TRUE,"High")</f>
        <v>Low</v>
      </c>
    </row>
    <row r="543" spans="1:41" hidden="1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 t="str">
        <f t="shared" si="24"/>
        <v>Active</v>
      </c>
      <c r="AK543">
        <f t="shared" ca="1" si="25"/>
        <v>2015</v>
      </c>
      <c r="AL543">
        <f t="shared" si="26"/>
        <v>0</v>
      </c>
      <c r="AM543" t="e" cm="1">
        <f t="array" aca="1" ref="AM543" ca="1">IF(B543="Yes",YEAR(TODAY()),BLANK())</f>
        <v>#NAME?</v>
      </c>
      <c r="AN543" t="str" cm="1">
        <f t="array" ref="AN543" xml:space="preserve"> _xlfn.IFS(A543&lt;25,"&lt;25",
A543&lt;=35,"25-35",
A543&lt;=45,"36-45",
TRUE,"45+"
)</f>
        <v>36-45</v>
      </c>
      <c r="AO543" t="str" cm="1">
        <f t="array" ref="AO543">_xlfn.IFS(S543&lt;5000,"Low",
S543&lt;=15000,"Medium",
TRUE,"High")</f>
        <v>Medium</v>
      </c>
    </row>
    <row r="544" spans="1:41" hidden="1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 t="str">
        <f t="shared" si="24"/>
        <v>Active</v>
      </c>
      <c r="AK544">
        <f t="shared" ca="1" si="25"/>
        <v>2015</v>
      </c>
      <c r="AL544">
        <f t="shared" si="26"/>
        <v>0</v>
      </c>
      <c r="AM544" t="e" cm="1">
        <f t="array" aca="1" ref="AM544" ca="1">IF(B544="Yes",YEAR(TODAY()),BLANK())</f>
        <v>#NAME?</v>
      </c>
      <c r="AN544" t="str" cm="1">
        <f t="array" ref="AN544" xml:space="preserve"> _xlfn.IFS(A544&lt;25,"&lt;25",
A544&lt;=35,"25-35",
A544&lt;=45,"36-45",
TRUE,"45+"
)</f>
        <v>36-45</v>
      </c>
      <c r="AO544" t="str" cm="1">
        <f t="array" ref="AO544">_xlfn.IFS(S544&lt;5000,"Low",
S544&lt;=15000,"Medium",
TRUE,"High")</f>
        <v>Medium</v>
      </c>
    </row>
    <row r="545" spans="1:41" hidden="1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 t="str">
        <f t="shared" si="24"/>
        <v>Active</v>
      </c>
      <c r="AK545">
        <f t="shared" ca="1" si="25"/>
        <v>2016</v>
      </c>
      <c r="AL545">
        <f t="shared" si="26"/>
        <v>0</v>
      </c>
      <c r="AM545" t="e" cm="1">
        <f t="array" aca="1" ref="AM545" ca="1">IF(B545="Yes",YEAR(TODAY()),BLANK())</f>
        <v>#NAME?</v>
      </c>
      <c r="AN545" t="str" cm="1">
        <f t="array" ref="AN545" xml:space="preserve"> _xlfn.IFS(A545&lt;25,"&lt;25",
A545&lt;=35,"25-35",
A545&lt;=45,"36-45",
TRUE,"45+"
)</f>
        <v>36-45</v>
      </c>
      <c r="AO545" t="str" cm="1">
        <f t="array" ref="AO545">_xlfn.IFS(S545&lt;5000,"Low",
S545&lt;=15000,"Medium",
TRUE,"High")</f>
        <v>Low</v>
      </c>
    </row>
    <row r="546" spans="1:41" hidden="1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 t="str">
        <f t="shared" si="24"/>
        <v>Active</v>
      </c>
      <c r="AK546">
        <f t="shared" ca="1" si="25"/>
        <v>1997</v>
      </c>
      <c r="AL546">
        <f t="shared" si="26"/>
        <v>0</v>
      </c>
      <c r="AM546" t="e" cm="1">
        <f t="array" aca="1" ref="AM546" ca="1">IF(B546="Yes",YEAR(TODAY()),BLANK())</f>
        <v>#NAME?</v>
      </c>
      <c r="AN546" t="str" cm="1">
        <f t="array" ref="AN546" xml:space="preserve"> _xlfn.IFS(A546&lt;25,"&lt;25",
A546&lt;=35,"25-35",
A546&lt;=45,"36-45",
TRUE,"45+"
)</f>
        <v>45+</v>
      </c>
      <c r="AO546" t="str" cm="1">
        <f t="array" ref="AO546">_xlfn.IFS(S546&lt;5000,"Low",
S546&lt;=15000,"Medium",
TRUE,"High")</f>
        <v>Medium</v>
      </c>
    </row>
    <row r="547" spans="1:41" hidden="1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 t="str">
        <f t="shared" si="24"/>
        <v>Active</v>
      </c>
      <c r="AK547">
        <f t="shared" ca="1" si="25"/>
        <v>2015</v>
      </c>
      <c r="AL547">
        <f t="shared" si="26"/>
        <v>0</v>
      </c>
      <c r="AM547" t="e" cm="1">
        <f t="array" aca="1" ref="AM547" ca="1">IF(B547="Yes",YEAR(TODAY()),BLANK())</f>
        <v>#NAME?</v>
      </c>
      <c r="AN547" t="str" cm="1">
        <f t="array" ref="AN547" xml:space="preserve"> _xlfn.IFS(A547&lt;25,"&lt;25",
A547&lt;=35,"25-35",
A547&lt;=45,"36-45",
TRUE,"45+"
)</f>
        <v>25-35</v>
      </c>
      <c r="AO547" t="str" cm="1">
        <f t="array" ref="AO547">_xlfn.IFS(S547&lt;5000,"Low",
S547&lt;=15000,"Medium",
TRUE,"High")</f>
        <v>Medium</v>
      </c>
    </row>
    <row r="548" spans="1:41" hidden="1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 t="str">
        <f t="shared" si="24"/>
        <v>Active</v>
      </c>
      <c r="AK548">
        <f t="shared" ca="1" si="25"/>
        <v>2024</v>
      </c>
      <c r="AL548">
        <f t="shared" si="26"/>
        <v>0</v>
      </c>
      <c r="AM548" t="e" cm="1">
        <f t="array" aca="1" ref="AM548" ca="1">IF(B548="Yes",YEAR(TODAY()),BLANK())</f>
        <v>#NAME?</v>
      </c>
      <c r="AN548" t="str" cm="1">
        <f t="array" ref="AN548" xml:space="preserve"> _xlfn.IFS(A548&lt;25,"&lt;25",
A548&lt;=35,"25-35",
A548&lt;=45,"36-45",
TRUE,"45+"
)</f>
        <v>25-35</v>
      </c>
      <c r="AO548" t="str" cm="1">
        <f t="array" ref="AO548">_xlfn.IFS(S548&lt;5000,"Low",
S548&lt;=15000,"Medium",
TRUE,"High")</f>
        <v>Low</v>
      </c>
    </row>
    <row r="549" spans="1:41" hidden="1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 t="str">
        <f t="shared" si="24"/>
        <v>Resigned</v>
      </c>
      <c r="AK549">
        <f t="shared" ca="1" si="25"/>
        <v>2018</v>
      </c>
      <c r="AL549">
        <f t="shared" si="26"/>
        <v>1</v>
      </c>
      <c r="AM549" cm="1">
        <f t="array" aca="1" ref="AM549" ca="1">IF(B549="Yes",YEAR(TODAY()),BLANK())</f>
        <v>2025</v>
      </c>
      <c r="AN549" t="str" cm="1">
        <f t="array" ref="AN549" xml:space="preserve"> _xlfn.IFS(A549&lt;25,"&lt;25",
A549&lt;=35,"25-35",
A549&lt;=45,"36-45",
TRUE,"45+"
)</f>
        <v>36-45</v>
      </c>
      <c r="AO549" t="str" cm="1">
        <f t="array" ref="AO549">_xlfn.IFS(S549&lt;5000,"Low",
S549&lt;=15000,"Medium",
TRUE,"High")</f>
        <v>Low</v>
      </c>
    </row>
    <row r="550" spans="1:41" hidden="1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 t="str">
        <f t="shared" si="24"/>
        <v>Active</v>
      </c>
      <c r="AK550">
        <f t="shared" ca="1" si="25"/>
        <v>2018</v>
      </c>
      <c r="AL550">
        <f t="shared" si="26"/>
        <v>0</v>
      </c>
      <c r="AM550" t="e" cm="1">
        <f t="array" aca="1" ref="AM550" ca="1">IF(B550="Yes",YEAR(TODAY()),BLANK())</f>
        <v>#NAME?</v>
      </c>
      <c r="AN550" t="str" cm="1">
        <f t="array" ref="AN550" xml:space="preserve"> _xlfn.IFS(A550&lt;25,"&lt;25",
A550&lt;=35,"25-35",
A550&lt;=45,"36-45",
TRUE,"45+"
)</f>
        <v>36-45</v>
      </c>
      <c r="AO550" t="str" cm="1">
        <f t="array" ref="AO550">_xlfn.IFS(S550&lt;5000,"Low",
S550&lt;=15000,"Medium",
TRUE,"High")</f>
        <v>Medium</v>
      </c>
    </row>
    <row r="551" spans="1:41" hidden="1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 t="str">
        <f t="shared" si="24"/>
        <v>Active</v>
      </c>
      <c r="AK551">
        <f t="shared" ca="1" si="25"/>
        <v>2015</v>
      </c>
      <c r="AL551">
        <f t="shared" si="26"/>
        <v>0</v>
      </c>
      <c r="AM551" t="e" cm="1">
        <f t="array" aca="1" ref="AM551" ca="1">IF(B551="Yes",YEAR(TODAY()),BLANK())</f>
        <v>#NAME?</v>
      </c>
      <c r="AN551" t="str" cm="1">
        <f t="array" ref="AN551" xml:space="preserve"> _xlfn.IFS(A551&lt;25,"&lt;25",
A551&lt;=35,"25-35",
A551&lt;=45,"36-45",
TRUE,"45+"
)</f>
        <v>25-35</v>
      </c>
      <c r="AO551" t="str" cm="1">
        <f t="array" ref="AO551">_xlfn.IFS(S551&lt;5000,"Low",
S551&lt;=15000,"Medium",
TRUE,"High")</f>
        <v>Medium</v>
      </c>
    </row>
    <row r="552" spans="1:41" hidden="1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 t="str">
        <f t="shared" si="24"/>
        <v>Active</v>
      </c>
      <c r="AK552">
        <f t="shared" ca="1" si="25"/>
        <v>2020</v>
      </c>
      <c r="AL552">
        <f t="shared" si="26"/>
        <v>0</v>
      </c>
      <c r="AM552" t="e" cm="1">
        <f t="array" aca="1" ref="AM552" ca="1">IF(B552="Yes",YEAR(TODAY()),BLANK())</f>
        <v>#NAME?</v>
      </c>
      <c r="AN552" t="str" cm="1">
        <f t="array" ref="AN552" xml:space="preserve"> _xlfn.IFS(A552&lt;25,"&lt;25",
A552&lt;=35,"25-35",
A552&lt;=45,"36-45",
TRUE,"45+"
)</f>
        <v>&lt;25</v>
      </c>
      <c r="AO552" t="str" cm="1">
        <f t="array" ref="AO552">_xlfn.IFS(S552&lt;5000,"Low",
S552&lt;=15000,"Medium",
TRUE,"High")</f>
        <v>Low</v>
      </c>
    </row>
    <row r="553" spans="1:41" hidden="1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 t="str">
        <f t="shared" si="24"/>
        <v>Active</v>
      </c>
      <c r="AK553">
        <f t="shared" ca="1" si="25"/>
        <v>2013</v>
      </c>
      <c r="AL553">
        <f t="shared" si="26"/>
        <v>0</v>
      </c>
      <c r="AM553" t="e" cm="1">
        <f t="array" aca="1" ref="AM553" ca="1">IF(B553="Yes",YEAR(TODAY()),BLANK())</f>
        <v>#NAME?</v>
      </c>
      <c r="AN553" t="str" cm="1">
        <f t="array" ref="AN553" xml:space="preserve"> _xlfn.IFS(A553&lt;25,"&lt;25",
A553&lt;=35,"25-35",
A553&lt;=45,"36-45",
TRUE,"45+"
)</f>
        <v>36-45</v>
      </c>
      <c r="AO553" t="str" cm="1">
        <f t="array" ref="AO553">_xlfn.IFS(S553&lt;5000,"Low",
S553&lt;=15000,"Medium",
TRUE,"High")</f>
        <v>Medium</v>
      </c>
    </row>
    <row r="554" spans="1:41" hidden="1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 t="str">
        <f t="shared" si="24"/>
        <v>Active</v>
      </c>
      <c r="AK554">
        <f t="shared" ca="1" si="25"/>
        <v>1995</v>
      </c>
      <c r="AL554">
        <f t="shared" si="26"/>
        <v>0</v>
      </c>
      <c r="AM554" t="e" cm="1">
        <f t="array" aca="1" ref="AM554" ca="1">IF(B554="Yes",YEAR(TODAY()),BLANK())</f>
        <v>#NAME?</v>
      </c>
      <c r="AN554" t="str" cm="1">
        <f t="array" ref="AN554" xml:space="preserve"> _xlfn.IFS(A554&lt;25,"&lt;25",
A554&lt;=35,"25-35",
A554&lt;=45,"36-45",
TRUE,"45+"
)</f>
        <v>45+</v>
      </c>
      <c r="AO554" t="str" cm="1">
        <f t="array" ref="AO554">_xlfn.IFS(S554&lt;5000,"Low",
S554&lt;=15000,"Medium",
TRUE,"High")</f>
        <v>Medium</v>
      </c>
    </row>
    <row r="555" spans="1:41" hidden="1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 t="str">
        <f t="shared" si="24"/>
        <v>Active</v>
      </c>
      <c r="AK555">
        <f t="shared" ca="1" si="25"/>
        <v>2020</v>
      </c>
      <c r="AL555">
        <f t="shared" si="26"/>
        <v>0</v>
      </c>
      <c r="AM555" t="e" cm="1">
        <f t="array" aca="1" ref="AM555" ca="1">IF(B555="Yes",YEAR(TODAY()),BLANK())</f>
        <v>#NAME?</v>
      </c>
      <c r="AN555" t="str" cm="1">
        <f t="array" ref="AN555" xml:space="preserve"> _xlfn.IFS(A555&lt;25,"&lt;25",
A555&lt;=35,"25-35",
A555&lt;=45,"36-45",
TRUE,"45+"
)</f>
        <v>36-45</v>
      </c>
      <c r="AO555" t="str" cm="1">
        <f t="array" ref="AO555">_xlfn.IFS(S555&lt;5000,"Low",
S555&lt;=15000,"Medium",
TRUE,"High")</f>
        <v>Low</v>
      </c>
    </row>
    <row r="556" spans="1:41" hidden="1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 t="str">
        <f t="shared" si="24"/>
        <v>Active</v>
      </c>
      <c r="AK556">
        <f t="shared" ca="1" si="25"/>
        <v>2016</v>
      </c>
      <c r="AL556">
        <f t="shared" si="26"/>
        <v>0</v>
      </c>
      <c r="AM556" t="e" cm="1">
        <f t="array" aca="1" ref="AM556" ca="1">IF(B556="Yes",YEAR(TODAY()),BLANK())</f>
        <v>#NAME?</v>
      </c>
      <c r="AN556" t="str" cm="1">
        <f t="array" ref="AN556" xml:space="preserve"> _xlfn.IFS(A556&lt;25,"&lt;25",
A556&lt;=35,"25-35",
A556&lt;=45,"36-45",
TRUE,"45+"
)</f>
        <v>25-35</v>
      </c>
      <c r="AO556" t="str" cm="1">
        <f t="array" ref="AO556">_xlfn.IFS(S556&lt;5000,"Low",
S556&lt;=15000,"Medium",
TRUE,"High")</f>
        <v>Medium</v>
      </c>
    </row>
    <row r="557" spans="1:41" hidden="1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 t="str">
        <f t="shared" si="24"/>
        <v>Active</v>
      </c>
      <c r="AK557">
        <f t="shared" ca="1" si="25"/>
        <v>2023</v>
      </c>
      <c r="AL557">
        <f t="shared" si="26"/>
        <v>0</v>
      </c>
      <c r="AM557" t="e" cm="1">
        <f t="array" aca="1" ref="AM557" ca="1">IF(B557="Yes",YEAR(TODAY()),BLANK())</f>
        <v>#NAME?</v>
      </c>
      <c r="AN557" t="str" cm="1">
        <f t="array" ref="AN557" xml:space="preserve"> _xlfn.IFS(A557&lt;25,"&lt;25",
A557&lt;=35,"25-35",
A557&lt;=45,"36-45",
TRUE,"45+"
)</f>
        <v>25-35</v>
      </c>
      <c r="AO557" t="str" cm="1">
        <f t="array" ref="AO557">_xlfn.IFS(S557&lt;5000,"Low",
S557&lt;=15000,"Medium",
TRUE,"High")</f>
        <v>Low</v>
      </c>
    </row>
    <row r="558" spans="1:41" hidden="1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 t="str">
        <f t="shared" si="24"/>
        <v>Active</v>
      </c>
      <c r="AK558">
        <f t="shared" ca="1" si="25"/>
        <v>2006</v>
      </c>
      <c r="AL558">
        <f t="shared" si="26"/>
        <v>0</v>
      </c>
      <c r="AM558" t="e" cm="1">
        <f t="array" aca="1" ref="AM558" ca="1">IF(B558="Yes",YEAR(TODAY()),BLANK())</f>
        <v>#NAME?</v>
      </c>
      <c r="AN558" t="str" cm="1">
        <f t="array" ref="AN558" xml:space="preserve"> _xlfn.IFS(A558&lt;25,"&lt;25",
A558&lt;=35,"25-35",
A558&lt;=45,"36-45",
TRUE,"45+"
)</f>
        <v>45+</v>
      </c>
      <c r="AO558" t="str" cm="1">
        <f t="array" ref="AO558">_xlfn.IFS(S558&lt;5000,"Low",
S558&lt;=15000,"Medium",
TRUE,"High")</f>
        <v>Low</v>
      </c>
    </row>
    <row r="559" spans="1:41" hidden="1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 t="str">
        <f t="shared" si="24"/>
        <v>Active</v>
      </c>
      <c r="AK559">
        <f t="shared" ca="1" si="25"/>
        <v>2009</v>
      </c>
      <c r="AL559">
        <f t="shared" si="26"/>
        <v>0</v>
      </c>
      <c r="AM559" t="e" cm="1">
        <f t="array" aca="1" ref="AM559" ca="1">IF(B559="Yes",YEAR(TODAY()),BLANK())</f>
        <v>#NAME?</v>
      </c>
      <c r="AN559" t="str" cm="1">
        <f t="array" ref="AN559" xml:space="preserve"> _xlfn.IFS(A559&lt;25,"&lt;25",
A559&lt;=35,"25-35",
A559&lt;=45,"36-45",
TRUE,"45+"
)</f>
        <v>25-35</v>
      </c>
      <c r="AO559" t="str" cm="1">
        <f t="array" ref="AO559">_xlfn.IFS(S559&lt;5000,"Low",
S559&lt;=15000,"Medium",
TRUE,"High")</f>
        <v>Medium</v>
      </c>
    </row>
    <row r="560" spans="1:41" hidden="1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 t="str">
        <f t="shared" si="24"/>
        <v>Active</v>
      </c>
      <c r="AK560">
        <f t="shared" ca="1" si="25"/>
        <v>2015</v>
      </c>
      <c r="AL560">
        <f t="shared" si="26"/>
        <v>0</v>
      </c>
      <c r="AM560" t="e" cm="1">
        <f t="array" aca="1" ref="AM560" ca="1">IF(B560="Yes",YEAR(TODAY()),BLANK())</f>
        <v>#NAME?</v>
      </c>
      <c r="AN560" t="str" cm="1">
        <f t="array" ref="AN560" xml:space="preserve"> _xlfn.IFS(A560&lt;25,"&lt;25",
A560&lt;=35,"25-35",
A560&lt;=45,"36-45",
TRUE,"45+"
)</f>
        <v>25-35</v>
      </c>
      <c r="AO560" t="str" cm="1">
        <f t="array" ref="AO560">_xlfn.IFS(S560&lt;5000,"Low",
S560&lt;=15000,"Medium",
TRUE,"High")</f>
        <v>Medium</v>
      </c>
    </row>
    <row r="561" spans="1:41" hidden="1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 t="str">
        <f t="shared" si="24"/>
        <v>Active</v>
      </c>
      <c r="AK561">
        <f t="shared" ca="1" si="25"/>
        <v>2019</v>
      </c>
      <c r="AL561">
        <f t="shared" si="26"/>
        <v>0</v>
      </c>
      <c r="AM561" t="e" cm="1">
        <f t="array" aca="1" ref="AM561" ca="1">IF(B561="Yes",YEAR(TODAY()),BLANK())</f>
        <v>#NAME?</v>
      </c>
      <c r="AN561" t="str" cm="1">
        <f t="array" ref="AN561" xml:space="preserve"> _xlfn.IFS(A561&lt;25,"&lt;25",
A561&lt;=35,"25-35",
A561&lt;=45,"36-45",
TRUE,"45+"
)</f>
        <v>36-45</v>
      </c>
      <c r="AO561" t="str" cm="1">
        <f t="array" ref="AO561">_xlfn.IFS(S561&lt;5000,"Low",
S561&lt;=15000,"Medium",
TRUE,"High")</f>
        <v>Low</v>
      </c>
    </row>
    <row r="562" spans="1:41" hidden="1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 t="str">
        <f t="shared" si="24"/>
        <v>Active</v>
      </c>
      <c r="AK562">
        <f t="shared" ca="1" si="25"/>
        <v>2018</v>
      </c>
      <c r="AL562">
        <f t="shared" si="26"/>
        <v>0</v>
      </c>
      <c r="AM562" t="e" cm="1">
        <f t="array" aca="1" ref="AM562" ca="1">IF(B562="Yes",YEAR(TODAY()),BLANK())</f>
        <v>#NAME?</v>
      </c>
      <c r="AN562" t="str" cm="1">
        <f t="array" ref="AN562" xml:space="preserve"> _xlfn.IFS(A562&lt;25,"&lt;25",
A562&lt;=35,"25-35",
A562&lt;=45,"36-45",
TRUE,"45+"
)</f>
        <v>25-35</v>
      </c>
      <c r="AO562" t="str" cm="1">
        <f t="array" ref="AO562">_xlfn.IFS(S562&lt;5000,"Low",
S562&lt;=15000,"Medium",
TRUE,"High")</f>
        <v>Medium</v>
      </c>
    </row>
    <row r="563" spans="1:41" hidden="1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 t="str">
        <f t="shared" si="24"/>
        <v>Active</v>
      </c>
      <c r="AK563">
        <f t="shared" ca="1" si="25"/>
        <v>1991</v>
      </c>
      <c r="AL563">
        <f t="shared" si="26"/>
        <v>0</v>
      </c>
      <c r="AM563" t="e" cm="1">
        <f t="array" aca="1" ref="AM563" ca="1">IF(B563="Yes",YEAR(TODAY()),BLANK())</f>
        <v>#NAME?</v>
      </c>
      <c r="AN563" t="str" cm="1">
        <f t="array" ref="AN563" xml:space="preserve"> _xlfn.IFS(A563&lt;25,"&lt;25",
A563&lt;=35,"25-35",
A563&lt;=45,"36-45",
TRUE,"45+"
)</f>
        <v>45+</v>
      </c>
      <c r="AO563" t="str" cm="1">
        <f t="array" ref="AO563">_xlfn.IFS(S563&lt;5000,"Low",
S563&lt;=15000,"Medium",
TRUE,"High")</f>
        <v>High</v>
      </c>
    </row>
    <row r="564" spans="1:41" hidden="1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 t="str">
        <f t="shared" si="24"/>
        <v>Resigned</v>
      </c>
      <c r="AK564">
        <f t="shared" ca="1" si="25"/>
        <v>2015</v>
      </c>
      <c r="AL564">
        <f t="shared" si="26"/>
        <v>1</v>
      </c>
      <c r="AM564" cm="1">
        <f t="array" aca="1" ref="AM564" ca="1">IF(B564="Yes",YEAR(TODAY()),BLANK())</f>
        <v>2025</v>
      </c>
      <c r="AN564" t="str" cm="1">
        <f t="array" ref="AN564" xml:space="preserve"> _xlfn.IFS(A564&lt;25,"&lt;25",
A564&lt;=35,"25-35",
A564&lt;=45,"36-45",
TRUE,"45+"
)</f>
        <v>25-35</v>
      </c>
      <c r="AO564" t="str" cm="1">
        <f t="array" ref="AO564">_xlfn.IFS(S564&lt;5000,"Low",
S564&lt;=15000,"Medium",
TRUE,"High")</f>
        <v>Low</v>
      </c>
    </row>
    <row r="565" spans="1:41" hidden="1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 t="str">
        <f t="shared" si="24"/>
        <v>Active</v>
      </c>
      <c r="AK565">
        <f t="shared" ca="1" si="25"/>
        <v>2019</v>
      </c>
      <c r="AL565">
        <f t="shared" si="26"/>
        <v>0</v>
      </c>
      <c r="AM565" t="e" cm="1">
        <f t="array" aca="1" ref="AM565" ca="1">IF(B565="Yes",YEAR(TODAY()),BLANK())</f>
        <v>#NAME?</v>
      </c>
      <c r="AN565" t="str" cm="1">
        <f t="array" ref="AN565" xml:space="preserve"> _xlfn.IFS(A565&lt;25,"&lt;25",
A565&lt;=35,"25-35",
A565&lt;=45,"36-45",
TRUE,"45+"
)</f>
        <v>25-35</v>
      </c>
      <c r="AO565" t="str" cm="1">
        <f t="array" ref="AO565">_xlfn.IFS(S565&lt;5000,"Low",
S565&lt;=15000,"Medium",
TRUE,"High")</f>
        <v>Medium</v>
      </c>
    </row>
    <row r="566" spans="1:41" hidden="1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 t="str">
        <f t="shared" si="24"/>
        <v>Active</v>
      </c>
      <c r="AK566">
        <f t="shared" ca="1" si="25"/>
        <v>2016</v>
      </c>
      <c r="AL566">
        <f t="shared" si="26"/>
        <v>0</v>
      </c>
      <c r="AM566" t="e" cm="1">
        <f t="array" aca="1" ref="AM566" ca="1">IF(B566="Yes",YEAR(TODAY()),BLANK())</f>
        <v>#NAME?</v>
      </c>
      <c r="AN566" t="str" cm="1">
        <f t="array" ref="AN566" xml:space="preserve"> _xlfn.IFS(A566&lt;25,"&lt;25",
A566&lt;=35,"25-35",
A566&lt;=45,"36-45",
TRUE,"45+"
)</f>
        <v>36-45</v>
      </c>
      <c r="AO566" t="str" cm="1">
        <f t="array" ref="AO566">_xlfn.IFS(S566&lt;5000,"Low",
S566&lt;=15000,"Medium",
TRUE,"High")</f>
        <v>Medium</v>
      </c>
    </row>
    <row r="567" spans="1:41" hidden="1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 t="str">
        <f t="shared" si="24"/>
        <v>Active</v>
      </c>
      <c r="AK567">
        <f t="shared" ca="1" si="25"/>
        <v>2023</v>
      </c>
      <c r="AL567">
        <f t="shared" si="26"/>
        <v>0</v>
      </c>
      <c r="AM567" t="e" cm="1">
        <f t="array" aca="1" ref="AM567" ca="1">IF(B567="Yes",YEAR(TODAY()),BLANK())</f>
        <v>#NAME?</v>
      </c>
      <c r="AN567" t="str" cm="1">
        <f t="array" ref="AN567" xml:space="preserve"> _xlfn.IFS(A567&lt;25,"&lt;25",
A567&lt;=35,"25-35",
A567&lt;=45,"36-45",
TRUE,"45+"
)</f>
        <v>&lt;25</v>
      </c>
      <c r="AO567" t="str" cm="1">
        <f t="array" ref="AO567">_xlfn.IFS(S567&lt;5000,"Low",
S567&lt;=15000,"Medium",
TRUE,"High")</f>
        <v>Low</v>
      </c>
    </row>
    <row r="568" spans="1:41" hidden="1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 t="str">
        <f t="shared" si="24"/>
        <v>Resigned</v>
      </c>
      <c r="AK568">
        <f t="shared" ca="1" si="25"/>
        <v>2017</v>
      </c>
      <c r="AL568">
        <f t="shared" si="26"/>
        <v>1</v>
      </c>
      <c r="AM568" cm="1">
        <f t="array" aca="1" ref="AM568" ca="1">IF(B568="Yes",YEAR(TODAY()),BLANK())</f>
        <v>2025</v>
      </c>
      <c r="AN568" t="str" cm="1">
        <f t="array" ref="AN568" xml:space="preserve"> _xlfn.IFS(A568&lt;25,"&lt;25",
A568&lt;=35,"25-35",
A568&lt;=45,"36-45",
TRUE,"45+"
)</f>
        <v>45+</v>
      </c>
      <c r="AO568" t="str" cm="1">
        <f t="array" ref="AO568">_xlfn.IFS(S568&lt;5000,"Low",
S568&lt;=15000,"Medium",
TRUE,"High")</f>
        <v>Medium</v>
      </c>
    </row>
    <row r="569" spans="1:41" hidden="1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 t="str">
        <f t="shared" si="24"/>
        <v>Active</v>
      </c>
      <c r="AK569">
        <f t="shared" ca="1" si="25"/>
        <v>2019</v>
      </c>
      <c r="AL569">
        <f t="shared" si="26"/>
        <v>0</v>
      </c>
      <c r="AM569" t="e" cm="1">
        <f t="array" aca="1" ref="AM569" ca="1">IF(B569="Yes",YEAR(TODAY()),BLANK())</f>
        <v>#NAME?</v>
      </c>
      <c r="AN569" t="str" cm="1">
        <f t="array" ref="AN569" xml:space="preserve"> _xlfn.IFS(A569&lt;25,"&lt;25",
A569&lt;=35,"25-35",
A569&lt;=45,"36-45",
TRUE,"45+"
)</f>
        <v>25-35</v>
      </c>
      <c r="AO569" t="str" cm="1">
        <f t="array" ref="AO569">_xlfn.IFS(S569&lt;5000,"Low",
S569&lt;=15000,"Medium",
TRUE,"High")</f>
        <v>Medium</v>
      </c>
    </row>
    <row r="570" spans="1:41" hidden="1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 t="str">
        <f t="shared" si="24"/>
        <v>Resigned</v>
      </c>
      <c r="AK570">
        <f t="shared" ca="1" si="25"/>
        <v>2001</v>
      </c>
      <c r="AL570">
        <f t="shared" si="26"/>
        <v>1</v>
      </c>
      <c r="AM570" cm="1">
        <f t="array" aca="1" ref="AM570" ca="1">IF(B570="Yes",YEAR(TODAY()),BLANK())</f>
        <v>2025</v>
      </c>
      <c r="AN570" t="str" cm="1">
        <f t="array" ref="AN570" xml:space="preserve"> _xlfn.IFS(A570&lt;25,"&lt;25",
A570&lt;=35,"25-35",
A570&lt;=45,"36-45",
TRUE,"45+"
)</f>
        <v>45+</v>
      </c>
      <c r="AO570" t="str" cm="1">
        <f t="array" ref="AO570">_xlfn.IFS(S570&lt;5000,"Low",
S570&lt;=15000,"Medium",
TRUE,"High")</f>
        <v>High</v>
      </c>
    </row>
    <row r="571" spans="1:41" hidden="1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 t="str">
        <f t="shared" si="24"/>
        <v>Active</v>
      </c>
      <c r="AK571">
        <f t="shared" ca="1" si="25"/>
        <v>2015</v>
      </c>
      <c r="AL571">
        <f t="shared" si="26"/>
        <v>0</v>
      </c>
      <c r="AM571" t="e" cm="1">
        <f t="array" aca="1" ref="AM571" ca="1">IF(B571="Yes",YEAR(TODAY()),BLANK())</f>
        <v>#NAME?</v>
      </c>
      <c r="AN571" t="str" cm="1">
        <f t="array" ref="AN571" xml:space="preserve"> _xlfn.IFS(A571&lt;25,"&lt;25",
A571&lt;=35,"25-35",
A571&lt;=45,"36-45",
TRUE,"45+"
)</f>
        <v>36-45</v>
      </c>
      <c r="AO571" t="str" cm="1">
        <f t="array" ref="AO571">_xlfn.IFS(S571&lt;5000,"Low",
S571&lt;=15000,"Medium",
TRUE,"High")</f>
        <v>Medium</v>
      </c>
    </row>
    <row r="572" spans="1:41" hidden="1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 t="str">
        <f t="shared" si="24"/>
        <v>Active</v>
      </c>
      <c r="AK572">
        <f t="shared" ca="1" si="25"/>
        <v>2020</v>
      </c>
      <c r="AL572">
        <f t="shared" si="26"/>
        <v>0</v>
      </c>
      <c r="AM572" t="e" cm="1">
        <f t="array" aca="1" ref="AM572" ca="1">IF(B572="Yes",YEAR(TODAY()),BLANK())</f>
        <v>#NAME?</v>
      </c>
      <c r="AN572" t="str" cm="1">
        <f t="array" ref="AN572" xml:space="preserve"> _xlfn.IFS(A572&lt;25,"&lt;25",
A572&lt;=35,"25-35",
A572&lt;=45,"36-45",
TRUE,"45+"
)</f>
        <v>45+</v>
      </c>
      <c r="AO572" t="str" cm="1">
        <f t="array" ref="AO572">_xlfn.IFS(S572&lt;5000,"Low",
S572&lt;=15000,"Medium",
TRUE,"High")</f>
        <v>Low</v>
      </c>
    </row>
    <row r="573" spans="1:41" hidden="1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 t="str">
        <f t="shared" si="24"/>
        <v>Active</v>
      </c>
      <c r="AK573">
        <f t="shared" ca="1" si="25"/>
        <v>2020</v>
      </c>
      <c r="AL573">
        <f t="shared" si="26"/>
        <v>0</v>
      </c>
      <c r="AM573" t="e" cm="1">
        <f t="array" aca="1" ref="AM573" ca="1">IF(B573="Yes",YEAR(TODAY()),BLANK())</f>
        <v>#NAME?</v>
      </c>
      <c r="AN573" t="str" cm="1">
        <f t="array" ref="AN573" xml:space="preserve"> _xlfn.IFS(A573&lt;25,"&lt;25",
A573&lt;=35,"25-35",
A573&lt;=45,"36-45",
TRUE,"45+"
)</f>
        <v>25-35</v>
      </c>
      <c r="AO573" t="str" cm="1">
        <f t="array" ref="AO573">_xlfn.IFS(S573&lt;5000,"Low",
S573&lt;=15000,"Medium",
TRUE,"High")</f>
        <v>Low</v>
      </c>
    </row>
    <row r="574" spans="1:41" hidden="1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 t="str">
        <f t="shared" si="24"/>
        <v>Active</v>
      </c>
      <c r="AK574">
        <f t="shared" ca="1" si="25"/>
        <v>2014</v>
      </c>
      <c r="AL574">
        <f t="shared" si="26"/>
        <v>0</v>
      </c>
      <c r="AM574" t="e" cm="1">
        <f t="array" aca="1" ref="AM574" ca="1">IF(B574="Yes",YEAR(TODAY()),BLANK())</f>
        <v>#NAME?</v>
      </c>
      <c r="AN574" t="str" cm="1">
        <f t="array" ref="AN574" xml:space="preserve"> _xlfn.IFS(A574&lt;25,"&lt;25",
A574&lt;=35,"25-35",
A574&lt;=45,"36-45",
TRUE,"45+"
)</f>
        <v>25-35</v>
      </c>
      <c r="AO574" t="str" cm="1">
        <f t="array" ref="AO574">_xlfn.IFS(S574&lt;5000,"Low",
S574&lt;=15000,"Medium",
TRUE,"High")</f>
        <v>Low</v>
      </c>
    </row>
    <row r="575" spans="1:41" hidden="1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 t="str">
        <f t="shared" si="24"/>
        <v>Resigned</v>
      </c>
      <c r="AK575">
        <f t="shared" ca="1" si="25"/>
        <v>2019</v>
      </c>
      <c r="AL575">
        <f t="shared" si="26"/>
        <v>1</v>
      </c>
      <c r="AM575" cm="1">
        <f t="array" aca="1" ref="AM575" ca="1">IF(B575="Yes",YEAR(TODAY()),BLANK())</f>
        <v>2025</v>
      </c>
      <c r="AN575" t="str" cm="1">
        <f t="array" ref="AN575" xml:space="preserve"> _xlfn.IFS(A575&lt;25,"&lt;25",
A575&lt;=35,"25-35",
A575&lt;=45,"36-45",
TRUE,"45+"
)</f>
        <v>25-35</v>
      </c>
      <c r="AO575" t="str" cm="1">
        <f t="array" ref="AO575">_xlfn.IFS(S575&lt;5000,"Low",
S575&lt;=15000,"Medium",
TRUE,"High")</f>
        <v>Medium</v>
      </c>
    </row>
    <row r="576" spans="1:41" hidden="1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 t="str">
        <f t="shared" si="24"/>
        <v>Active</v>
      </c>
      <c r="AK576">
        <f t="shared" ca="1" si="25"/>
        <v>2015</v>
      </c>
      <c r="AL576">
        <f t="shared" si="26"/>
        <v>0</v>
      </c>
      <c r="AM576" t="e" cm="1">
        <f t="array" aca="1" ref="AM576" ca="1">IF(B576="Yes",YEAR(TODAY()),BLANK())</f>
        <v>#NAME?</v>
      </c>
      <c r="AN576" t="str" cm="1">
        <f t="array" ref="AN576" xml:space="preserve"> _xlfn.IFS(A576&lt;25,"&lt;25",
A576&lt;=35,"25-35",
A576&lt;=45,"36-45",
TRUE,"45+"
)</f>
        <v>25-35</v>
      </c>
      <c r="AO576" t="str" cm="1">
        <f t="array" ref="AO576">_xlfn.IFS(S576&lt;5000,"Low",
S576&lt;=15000,"Medium",
TRUE,"High")</f>
        <v>Low</v>
      </c>
    </row>
    <row r="577" spans="1:41" hidden="1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 t="str">
        <f t="shared" si="24"/>
        <v>Active</v>
      </c>
      <c r="AK577">
        <f t="shared" ca="1" si="25"/>
        <v>2016</v>
      </c>
      <c r="AL577">
        <f t="shared" si="26"/>
        <v>0</v>
      </c>
      <c r="AM577" t="e" cm="1">
        <f t="array" aca="1" ref="AM577" ca="1">IF(B577="Yes",YEAR(TODAY()),BLANK())</f>
        <v>#NAME?</v>
      </c>
      <c r="AN577" t="str" cm="1">
        <f t="array" ref="AN577" xml:space="preserve"> _xlfn.IFS(A577&lt;25,"&lt;25",
A577&lt;=35,"25-35",
A577&lt;=45,"36-45",
TRUE,"45+"
)</f>
        <v>45+</v>
      </c>
      <c r="AO577" t="str" cm="1">
        <f t="array" ref="AO577">_xlfn.IFS(S577&lt;5000,"Low",
S577&lt;=15000,"Medium",
TRUE,"High")</f>
        <v>Medium</v>
      </c>
    </row>
    <row r="578" spans="1:41" hidden="1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 t="str">
        <f t="shared" si="24"/>
        <v>Active</v>
      </c>
      <c r="AK578">
        <f t="shared" ca="1" si="25"/>
        <v>2020</v>
      </c>
      <c r="AL578">
        <f t="shared" si="26"/>
        <v>0</v>
      </c>
      <c r="AM578" t="e" cm="1">
        <f t="array" aca="1" ref="AM578" ca="1">IF(B578="Yes",YEAR(TODAY()),BLANK())</f>
        <v>#NAME?</v>
      </c>
      <c r="AN578" t="str" cm="1">
        <f t="array" ref="AN578" xml:space="preserve"> _xlfn.IFS(A578&lt;25,"&lt;25",
A578&lt;=35,"25-35",
A578&lt;=45,"36-45",
TRUE,"45+"
)</f>
        <v>25-35</v>
      </c>
      <c r="AO578" t="str" cm="1">
        <f t="array" ref="AO578">_xlfn.IFS(S578&lt;5000,"Low",
S578&lt;=15000,"Medium",
TRUE,"High")</f>
        <v>Low</v>
      </c>
    </row>
    <row r="579" spans="1:41" hidden="1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 t="str">
        <f t="shared" ref="AJ579:AJ642" si="27">IF(B579="Yes", "Resigned","Active")</f>
        <v>Active</v>
      </c>
      <c r="AK579">
        <f t="shared" ref="AK579:AK642" ca="1" si="28">YEAR(TODAY()) - AC579</f>
        <v>2019</v>
      </c>
      <c r="AL579">
        <f t="shared" ref="AL579:AL642" si="29">IF(B579="Yes",1,0)</f>
        <v>0</v>
      </c>
      <c r="AM579" t="e" cm="1">
        <f t="array" aca="1" ref="AM579" ca="1">IF(B579="Yes",YEAR(TODAY()),BLANK())</f>
        <v>#NAME?</v>
      </c>
      <c r="AN579" t="str" cm="1">
        <f t="array" ref="AN579" xml:space="preserve"> _xlfn.IFS(A579&lt;25,"&lt;25",
A579&lt;=35,"25-35",
A579&lt;=45,"36-45",
TRUE,"45+"
)</f>
        <v>36-45</v>
      </c>
      <c r="AO579" t="str" cm="1">
        <f t="array" ref="AO579">_xlfn.IFS(S579&lt;5000,"Low",
S579&lt;=15000,"Medium",
TRUE,"High")</f>
        <v>Low</v>
      </c>
    </row>
    <row r="580" spans="1:41" hidden="1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 t="str">
        <f t="shared" si="27"/>
        <v>Active</v>
      </c>
      <c r="AK580">
        <f t="shared" ca="1" si="28"/>
        <v>2008</v>
      </c>
      <c r="AL580">
        <f t="shared" si="29"/>
        <v>0</v>
      </c>
      <c r="AM580" t="e" cm="1">
        <f t="array" aca="1" ref="AM580" ca="1">IF(B580="Yes",YEAR(TODAY()),BLANK())</f>
        <v>#NAME?</v>
      </c>
      <c r="AN580" t="str" cm="1">
        <f t="array" ref="AN580" xml:space="preserve"> _xlfn.IFS(A580&lt;25,"&lt;25",
A580&lt;=35,"25-35",
A580&lt;=45,"36-45",
TRUE,"45+"
)</f>
        <v>36-45</v>
      </c>
      <c r="AO580" t="str" cm="1">
        <f t="array" ref="AO580">_xlfn.IFS(S580&lt;5000,"Low",
S580&lt;=15000,"Medium",
TRUE,"High")</f>
        <v>Medium</v>
      </c>
    </row>
    <row r="581" spans="1:41" hidden="1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 t="str">
        <f t="shared" si="27"/>
        <v>Active</v>
      </c>
      <c r="AK581">
        <f t="shared" ca="1" si="28"/>
        <v>2019</v>
      </c>
      <c r="AL581">
        <f t="shared" si="29"/>
        <v>0</v>
      </c>
      <c r="AM581" t="e" cm="1">
        <f t="array" aca="1" ref="AM581" ca="1">IF(B581="Yes",YEAR(TODAY()),BLANK())</f>
        <v>#NAME?</v>
      </c>
      <c r="AN581" t="str" cm="1">
        <f t="array" ref="AN581" xml:space="preserve"> _xlfn.IFS(A581&lt;25,"&lt;25",
A581&lt;=35,"25-35",
A581&lt;=45,"36-45",
TRUE,"45+"
)</f>
        <v>25-35</v>
      </c>
      <c r="AO581" t="str" cm="1">
        <f t="array" ref="AO581">_xlfn.IFS(S581&lt;5000,"Low",
S581&lt;=15000,"Medium",
TRUE,"High")</f>
        <v>Low</v>
      </c>
    </row>
    <row r="582" spans="1:41" hidden="1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 t="str">
        <f t="shared" si="27"/>
        <v>Active</v>
      </c>
      <c r="AK582">
        <f t="shared" ca="1" si="28"/>
        <v>2022</v>
      </c>
      <c r="AL582">
        <f t="shared" si="29"/>
        <v>0</v>
      </c>
      <c r="AM582" t="e" cm="1">
        <f t="array" aca="1" ref="AM582" ca="1">IF(B582="Yes",YEAR(TODAY()),BLANK())</f>
        <v>#NAME?</v>
      </c>
      <c r="AN582" t="str" cm="1">
        <f t="array" ref="AN582" xml:space="preserve"> _xlfn.IFS(A582&lt;25,"&lt;25",
A582&lt;=35,"25-35",
A582&lt;=45,"36-45",
TRUE,"45+"
)</f>
        <v>25-35</v>
      </c>
      <c r="AO582" t="str" cm="1">
        <f t="array" ref="AO582">_xlfn.IFS(S582&lt;5000,"Low",
S582&lt;=15000,"Medium",
TRUE,"High")</f>
        <v>Low</v>
      </c>
    </row>
    <row r="583" spans="1:41" hidden="1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 t="str">
        <f t="shared" si="27"/>
        <v>Active</v>
      </c>
      <c r="AK583">
        <f t="shared" ca="1" si="28"/>
        <v>2018</v>
      </c>
      <c r="AL583">
        <f t="shared" si="29"/>
        <v>0</v>
      </c>
      <c r="AM583" t="e" cm="1">
        <f t="array" aca="1" ref="AM583" ca="1">IF(B583="Yes",YEAR(TODAY()),BLANK())</f>
        <v>#NAME?</v>
      </c>
      <c r="AN583" t="str" cm="1">
        <f t="array" ref="AN583" xml:space="preserve"> _xlfn.IFS(A583&lt;25,"&lt;25",
A583&lt;=35,"25-35",
A583&lt;=45,"36-45",
TRUE,"45+"
)</f>
        <v>25-35</v>
      </c>
      <c r="AO583" t="str" cm="1">
        <f t="array" ref="AO583">_xlfn.IFS(S583&lt;5000,"Low",
S583&lt;=15000,"Medium",
TRUE,"High")</f>
        <v>Low</v>
      </c>
    </row>
    <row r="584" spans="1:41" hidden="1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 t="str">
        <f t="shared" si="27"/>
        <v>Active</v>
      </c>
      <c r="AK584">
        <f t="shared" ca="1" si="28"/>
        <v>2017</v>
      </c>
      <c r="AL584">
        <f t="shared" si="29"/>
        <v>0</v>
      </c>
      <c r="AM584" t="e" cm="1">
        <f t="array" aca="1" ref="AM584" ca="1">IF(B584="Yes",YEAR(TODAY()),BLANK())</f>
        <v>#NAME?</v>
      </c>
      <c r="AN584" t="str" cm="1">
        <f t="array" ref="AN584" xml:space="preserve"> _xlfn.IFS(A584&lt;25,"&lt;25",
A584&lt;=35,"25-35",
A584&lt;=45,"36-45",
TRUE,"45+"
)</f>
        <v>36-45</v>
      </c>
      <c r="AO584" t="str" cm="1">
        <f t="array" ref="AO584">_xlfn.IFS(S584&lt;5000,"Low",
S584&lt;=15000,"Medium",
TRUE,"High")</f>
        <v>Low</v>
      </c>
    </row>
    <row r="585" spans="1:41" hidden="1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 t="str">
        <f t="shared" si="27"/>
        <v>Active</v>
      </c>
      <c r="AK585">
        <f t="shared" ca="1" si="28"/>
        <v>2019</v>
      </c>
      <c r="AL585">
        <f t="shared" si="29"/>
        <v>0</v>
      </c>
      <c r="AM585" t="e" cm="1">
        <f t="array" aca="1" ref="AM585" ca="1">IF(B585="Yes",YEAR(TODAY()),BLANK())</f>
        <v>#NAME?</v>
      </c>
      <c r="AN585" t="str" cm="1">
        <f t="array" ref="AN585" xml:space="preserve"> _xlfn.IFS(A585&lt;25,"&lt;25",
A585&lt;=35,"25-35",
A585&lt;=45,"36-45",
TRUE,"45+"
)</f>
        <v>25-35</v>
      </c>
      <c r="AO585" t="str" cm="1">
        <f t="array" ref="AO585">_xlfn.IFS(S585&lt;5000,"Low",
S585&lt;=15000,"Medium",
TRUE,"High")</f>
        <v>Medium</v>
      </c>
    </row>
    <row r="586" spans="1:41" hidden="1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 t="str">
        <f t="shared" si="27"/>
        <v>Active</v>
      </c>
      <c r="AK586">
        <f t="shared" ca="1" si="28"/>
        <v>2001</v>
      </c>
      <c r="AL586">
        <f t="shared" si="29"/>
        <v>0</v>
      </c>
      <c r="AM586" t="e" cm="1">
        <f t="array" aca="1" ref="AM586" ca="1">IF(B586="Yes",YEAR(TODAY()),BLANK())</f>
        <v>#NAME?</v>
      </c>
      <c r="AN586" t="str" cm="1">
        <f t="array" ref="AN586" xml:space="preserve"> _xlfn.IFS(A586&lt;25,"&lt;25",
A586&lt;=35,"25-35",
A586&lt;=45,"36-45",
TRUE,"45+"
)</f>
        <v>36-45</v>
      </c>
      <c r="AO586" t="str" cm="1">
        <f t="array" ref="AO586">_xlfn.IFS(S586&lt;5000,"Low",
S586&lt;=15000,"Medium",
TRUE,"High")</f>
        <v>High</v>
      </c>
    </row>
    <row r="587" spans="1:41" hidden="1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 t="str">
        <f t="shared" si="27"/>
        <v>Resigned</v>
      </c>
      <c r="AK587">
        <f t="shared" ca="1" si="28"/>
        <v>2024</v>
      </c>
      <c r="AL587">
        <f t="shared" si="29"/>
        <v>1</v>
      </c>
      <c r="AM587" cm="1">
        <f t="array" aca="1" ref="AM587" ca="1">IF(B587="Yes",YEAR(TODAY()),BLANK())</f>
        <v>2025</v>
      </c>
      <c r="AN587" t="str" cm="1">
        <f t="array" ref="AN587" xml:space="preserve"> _xlfn.IFS(A587&lt;25,"&lt;25",
A587&lt;=35,"25-35",
A587&lt;=45,"36-45",
TRUE,"45+"
)</f>
        <v>&lt;25</v>
      </c>
      <c r="AO587" t="str" cm="1">
        <f t="array" ref="AO587">_xlfn.IFS(S587&lt;5000,"Low",
S587&lt;=15000,"Medium",
TRUE,"High")</f>
        <v>Low</v>
      </c>
    </row>
    <row r="588" spans="1:41" hidden="1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 t="str">
        <f t="shared" si="27"/>
        <v>Active</v>
      </c>
      <c r="AK588">
        <f t="shared" ca="1" si="28"/>
        <v>2024</v>
      </c>
      <c r="AL588">
        <f t="shared" si="29"/>
        <v>0</v>
      </c>
      <c r="AM588" t="e" cm="1">
        <f t="array" aca="1" ref="AM588" ca="1">IF(B588="Yes",YEAR(TODAY()),BLANK())</f>
        <v>#NAME?</v>
      </c>
      <c r="AN588" t="str" cm="1">
        <f t="array" ref="AN588" xml:space="preserve"> _xlfn.IFS(A588&lt;25,"&lt;25",
A588&lt;=35,"25-35",
A588&lt;=45,"36-45",
TRUE,"45+"
)</f>
        <v>&lt;25</v>
      </c>
      <c r="AO588" t="str" cm="1">
        <f t="array" ref="AO588">_xlfn.IFS(S588&lt;5000,"Low",
S588&lt;=15000,"Medium",
TRUE,"High")</f>
        <v>Low</v>
      </c>
    </row>
    <row r="589" spans="1:41" hidden="1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 t="str">
        <f t="shared" si="27"/>
        <v>Active</v>
      </c>
      <c r="AK589">
        <f t="shared" ca="1" si="28"/>
        <v>2016</v>
      </c>
      <c r="AL589">
        <f t="shared" si="29"/>
        <v>0</v>
      </c>
      <c r="AM589" t="e" cm="1">
        <f t="array" aca="1" ref="AM589" ca="1">IF(B589="Yes",YEAR(TODAY()),BLANK())</f>
        <v>#NAME?</v>
      </c>
      <c r="AN589" t="str" cm="1">
        <f t="array" ref="AN589" xml:space="preserve"> _xlfn.IFS(A589&lt;25,"&lt;25",
A589&lt;=35,"25-35",
A589&lt;=45,"36-45",
TRUE,"45+"
)</f>
        <v>45+</v>
      </c>
      <c r="AO589" t="str" cm="1">
        <f t="array" ref="AO589">_xlfn.IFS(S589&lt;5000,"Low",
S589&lt;=15000,"Medium",
TRUE,"High")</f>
        <v>Low</v>
      </c>
    </row>
    <row r="590" spans="1:41" hidden="1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 t="str">
        <f t="shared" si="27"/>
        <v>Active</v>
      </c>
      <c r="AK590">
        <f t="shared" ca="1" si="28"/>
        <v>1995</v>
      </c>
      <c r="AL590">
        <f t="shared" si="29"/>
        <v>0</v>
      </c>
      <c r="AM590" t="e" cm="1">
        <f t="array" aca="1" ref="AM590" ca="1">IF(B590="Yes",YEAR(TODAY()),BLANK())</f>
        <v>#NAME?</v>
      </c>
      <c r="AN590" t="str" cm="1">
        <f t="array" ref="AN590" xml:space="preserve"> _xlfn.IFS(A590&lt;25,"&lt;25",
A590&lt;=35,"25-35",
A590&lt;=45,"36-45",
TRUE,"45+"
)</f>
        <v>45+</v>
      </c>
      <c r="AO590" t="str" cm="1">
        <f t="array" ref="AO590">_xlfn.IFS(S590&lt;5000,"Low",
S590&lt;=15000,"Medium",
TRUE,"High")</f>
        <v>High</v>
      </c>
    </row>
    <row r="591" spans="1:41" hidden="1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 t="str">
        <f t="shared" si="27"/>
        <v>Resigned</v>
      </c>
      <c r="AK591">
        <f t="shared" ca="1" si="28"/>
        <v>2024</v>
      </c>
      <c r="AL591">
        <f t="shared" si="29"/>
        <v>1</v>
      </c>
      <c r="AM591" cm="1">
        <f t="array" aca="1" ref="AM591" ca="1">IF(B591="Yes",YEAR(TODAY()),BLANK())</f>
        <v>2025</v>
      </c>
      <c r="AN591" t="str" cm="1">
        <f t="array" ref="AN591" xml:space="preserve"> _xlfn.IFS(A591&lt;25,"&lt;25",
A591&lt;=35,"25-35",
A591&lt;=45,"36-45",
TRUE,"45+"
)</f>
        <v>25-35</v>
      </c>
      <c r="AO591" t="str" cm="1">
        <f t="array" ref="AO591">_xlfn.IFS(S591&lt;5000,"Low",
S591&lt;=15000,"Medium",
TRUE,"High")</f>
        <v>Low</v>
      </c>
    </row>
    <row r="592" spans="1:41" hidden="1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 t="str">
        <f t="shared" si="27"/>
        <v>Active</v>
      </c>
      <c r="AK592">
        <f t="shared" ca="1" si="28"/>
        <v>2011</v>
      </c>
      <c r="AL592">
        <f t="shared" si="29"/>
        <v>0</v>
      </c>
      <c r="AM592" t="e" cm="1">
        <f t="array" aca="1" ref="AM592" ca="1">IF(B592="Yes",YEAR(TODAY()),BLANK())</f>
        <v>#NAME?</v>
      </c>
      <c r="AN592" t="str" cm="1">
        <f t="array" ref="AN592" xml:space="preserve"> _xlfn.IFS(A592&lt;25,"&lt;25",
A592&lt;=35,"25-35",
A592&lt;=45,"36-45",
TRUE,"45+"
)</f>
        <v>25-35</v>
      </c>
      <c r="AO592" t="str" cm="1">
        <f t="array" ref="AO592">_xlfn.IFS(S592&lt;5000,"Low",
S592&lt;=15000,"Medium",
TRUE,"High")</f>
        <v>Medium</v>
      </c>
    </row>
    <row r="593" spans="1:41" hidden="1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 t="str">
        <f t="shared" si="27"/>
        <v>Resigned</v>
      </c>
      <c r="AK593">
        <f t="shared" ca="1" si="28"/>
        <v>2019</v>
      </c>
      <c r="AL593">
        <f t="shared" si="29"/>
        <v>1</v>
      </c>
      <c r="AM593" cm="1">
        <f t="array" aca="1" ref="AM593" ca="1">IF(B593="Yes",YEAR(TODAY()),BLANK())</f>
        <v>2025</v>
      </c>
      <c r="AN593" t="str" cm="1">
        <f t="array" ref="AN593" xml:space="preserve"> _xlfn.IFS(A593&lt;25,"&lt;25",
A593&lt;=35,"25-35",
A593&lt;=45,"36-45",
TRUE,"45+"
)</f>
        <v>25-35</v>
      </c>
      <c r="AO593" t="str" cm="1">
        <f t="array" ref="AO593">_xlfn.IFS(S593&lt;5000,"Low",
S593&lt;=15000,"Medium",
TRUE,"High")</f>
        <v>Medium</v>
      </c>
    </row>
    <row r="594" spans="1:41" hidden="1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 t="str">
        <f t="shared" si="27"/>
        <v>Active</v>
      </c>
      <c r="AK594">
        <f t="shared" ca="1" si="28"/>
        <v>1999</v>
      </c>
      <c r="AL594">
        <f t="shared" si="29"/>
        <v>0</v>
      </c>
      <c r="AM594" t="e" cm="1">
        <f t="array" aca="1" ref="AM594" ca="1">IF(B594="Yes",YEAR(TODAY()),BLANK())</f>
        <v>#NAME?</v>
      </c>
      <c r="AN594" t="str" cm="1">
        <f t="array" ref="AN594" xml:space="preserve"> _xlfn.IFS(A594&lt;25,"&lt;25",
A594&lt;=35,"25-35",
A594&lt;=45,"36-45",
TRUE,"45+"
)</f>
        <v>45+</v>
      </c>
      <c r="AO594" t="str" cm="1">
        <f t="array" ref="AO594">_xlfn.IFS(S594&lt;5000,"Low",
S594&lt;=15000,"Medium",
TRUE,"High")</f>
        <v>High</v>
      </c>
    </row>
    <row r="595" spans="1:41" hidden="1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 t="str">
        <f t="shared" si="27"/>
        <v>Active</v>
      </c>
      <c r="AK595">
        <f t="shared" ca="1" si="28"/>
        <v>2015</v>
      </c>
      <c r="AL595">
        <f t="shared" si="29"/>
        <v>0</v>
      </c>
      <c r="AM595" t="e" cm="1">
        <f t="array" aca="1" ref="AM595" ca="1">IF(B595="Yes",YEAR(TODAY()),BLANK())</f>
        <v>#NAME?</v>
      </c>
      <c r="AN595" t="str" cm="1">
        <f t="array" ref="AN595" xml:space="preserve"> _xlfn.IFS(A595&lt;25,"&lt;25",
A595&lt;=35,"25-35",
A595&lt;=45,"36-45",
TRUE,"45+"
)</f>
        <v>36-45</v>
      </c>
      <c r="AO595" t="str" cm="1">
        <f t="array" ref="AO595">_xlfn.IFS(S595&lt;5000,"Low",
S595&lt;=15000,"Medium",
TRUE,"High")</f>
        <v>Medium</v>
      </c>
    </row>
    <row r="596" spans="1:41" hidden="1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 t="str">
        <f t="shared" si="27"/>
        <v>Active</v>
      </c>
      <c r="AK596">
        <f t="shared" ca="1" si="28"/>
        <v>2015</v>
      </c>
      <c r="AL596">
        <f t="shared" si="29"/>
        <v>0</v>
      </c>
      <c r="AM596" t="e" cm="1">
        <f t="array" aca="1" ref="AM596" ca="1">IF(B596="Yes",YEAR(TODAY()),BLANK())</f>
        <v>#NAME?</v>
      </c>
      <c r="AN596" t="str" cm="1">
        <f t="array" ref="AN596" xml:space="preserve"> _xlfn.IFS(A596&lt;25,"&lt;25",
A596&lt;=35,"25-35",
A596&lt;=45,"36-45",
TRUE,"45+"
)</f>
        <v>25-35</v>
      </c>
      <c r="AO596" t="str" cm="1">
        <f t="array" ref="AO596">_xlfn.IFS(S596&lt;5000,"Low",
S596&lt;=15000,"Medium",
TRUE,"High")</f>
        <v>Low</v>
      </c>
    </row>
    <row r="597" spans="1:41" hidden="1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 t="str">
        <f t="shared" si="27"/>
        <v>Resigned</v>
      </c>
      <c r="AK597">
        <f t="shared" ca="1" si="28"/>
        <v>1985</v>
      </c>
      <c r="AL597">
        <f t="shared" si="29"/>
        <v>1</v>
      </c>
      <c r="AM597" cm="1">
        <f t="array" aca="1" ref="AM597" ca="1">IF(B597="Yes",YEAR(TODAY()),BLANK())</f>
        <v>2025</v>
      </c>
      <c r="AN597" t="str" cm="1">
        <f t="array" ref="AN597" xml:space="preserve"> _xlfn.IFS(A597&lt;25,"&lt;25",
A597&lt;=35,"25-35",
A597&lt;=45,"36-45",
TRUE,"45+"
)</f>
        <v>45+</v>
      </c>
      <c r="AO597" t="str" cm="1">
        <f t="array" ref="AO597">_xlfn.IFS(S597&lt;5000,"Low",
S597&lt;=15000,"Medium",
TRUE,"High")</f>
        <v>High</v>
      </c>
    </row>
    <row r="598" spans="1:41" hidden="1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 t="str">
        <f t="shared" si="27"/>
        <v>Active</v>
      </c>
      <c r="AK598">
        <f t="shared" ca="1" si="28"/>
        <v>2018</v>
      </c>
      <c r="AL598">
        <f t="shared" si="29"/>
        <v>0</v>
      </c>
      <c r="AM598" t="e" cm="1">
        <f t="array" aca="1" ref="AM598" ca="1">IF(B598="Yes",YEAR(TODAY()),BLANK())</f>
        <v>#NAME?</v>
      </c>
      <c r="AN598" t="str" cm="1">
        <f t="array" ref="AN598" xml:space="preserve"> _xlfn.IFS(A598&lt;25,"&lt;25",
A598&lt;=35,"25-35",
A598&lt;=45,"36-45",
TRUE,"45+"
)</f>
        <v>25-35</v>
      </c>
      <c r="AO598" t="str" cm="1">
        <f t="array" ref="AO598">_xlfn.IFS(S598&lt;5000,"Low",
S598&lt;=15000,"Medium",
TRUE,"High")</f>
        <v>Low</v>
      </c>
    </row>
    <row r="599" spans="1:41" hidden="1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 t="str">
        <f t="shared" si="27"/>
        <v>Active</v>
      </c>
      <c r="AK599">
        <f t="shared" ca="1" si="28"/>
        <v>2017</v>
      </c>
      <c r="AL599">
        <f t="shared" si="29"/>
        <v>0</v>
      </c>
      <c r="AM599" t="e" cm="1">
        <f t="array" aca="1" ref="AM599" ca="1">IF(B599="Yes",YEAR(TODAY()),BLANK())</f>
        <v>#NAME?</v>
      </c>
      <c r="AN599" t="str" cm="1">
        <f t="array" ref="AN599" xml:space="preserve"> _xlfn.IFS(A599&lt;25,"&lt;25",
A599&lt;=35,"25-35",
A599&lt;=45,"36-45",
TRUE,"45+"
)</f>
        <v>36-45</v>
      </c>
      <c r="AO599" t="str" cm="1">
        <f t="array" ref="AO599">_xlfn.IFS(S599&lt;5000,"Low",
S599&lt;=15000,"Medium",
TRUE,"High")</f>
        <v>Medium</v>
      </c>
    </row>
    <row r="600" spans="1:41" hidden="1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 t="str">
        <f t="shared" si="27"/>
        <v>Resigned</v>
      </c>
      <c r="AK600">
        <f t="shared" ca="1" si="28"/>
        <v>2020</v>
      </c>
      <c r="AL600">
        <f t="shared" si="29"/>
        <v>1</v>
      </c>
      <c r="AM600" cm="1">
        <f t="array" aca="1" ref="AM600" ca="1">IF(B600="Yes",YEAR(TODAY()),BLANK())</f>
        <v>2025</v>
      </c>
      <c r="AN600" t="str" cm="1">
        <f t="array" ref="AN600" xml:space="preserve"> _xlfn.IFS(A600&lt;25,"&lt;25",
A600&lt;=35,"25-35",
A600&lt;=45,"36-45",
TRUE,"45+"
)</f>
        <v>25-35</v>
      </c>
      <c r="AO600" t="str" cm="1">
        <f t="array" ref="AO600">_xlfn.IFS(S600&lt;5000,"Low",
S600&lt;=15000,"Medium",
TRUE,"High")</f>
        <v>Low</v>
      </c>
    </row>
    <row r="601" spans="1:41" hidden="1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 t="str">
        <f t="shared" si="27"/>
        <v>Active</v>
      </c>
      <c r="AK601">
        <f t="shared" ca="1" si="28"/>
        <v>2017</v>
      </c>
      <c r="AL601">
        <f t="shared" si="29"/>
        <v>0</v>
      </c>
      <c r="AM601" t="e" cm="1">
        <f t="array" aca="1" ref="AM601" ca="1">IF(B601="Yes",YEAR(TODAY()),BLANK())</f>
        <v>#NAME?</v>
      </c>
      <c r="AN601" t="str" cm="1">
        <f t="array" ref="AN601" xml:space="preserve"> _xlfn.IFS(A601&lt;25,"&lt;25",
A601&lt;=35,"25-35",
A601&lt;=45,"36-45",
TRUE,"45+"
)</f>
        <v>36-45</v>
      </c>
      <c r="AO601" t="str" cm="1">
        <f t="array" ref="AO601">_xlfn.IFS(S601&lt;5000,"Low",
S601&lt;=15000,"Medium",
TRUE,"High")</f>
        <v>Low</v>
      </c>
    </row>
    <row r="602" spans="1:41" hidden="1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 t="str">
        <f t="shared" si="27"/>
        <v>Active</v>
      </c>
      <c r="AK602">
        <f t="shared" ca="1" si="28"/>
        <v>2011</v>
      </c>
      <c r="AL602">
        <f t="shared" si="29"/>
        <v>0</v>
      </c>
      <c r="AM602" t="e" cm="1">
        <f t="array" aca="1" ref="AM602" ca="1">IF(B602="Yes",YEAR(TODAY()),BLANK())</f>
        <v>#NAME?</v>
      </c>
      <c r="AN602" t="str" cm="1">
        <f t="array" ref="AN602" xml:space="preserve"> _xlfn.IFS(A602&lt;25,"&lt;25",
A602&lt;=35,"25-35",
A602&lt;=45,"36-45",
TRUE,"45+"
)</f>
        <v>25-35</v>
      </c>
      <c r="AO602" t="str" cm="1">
        <f t="array" ref="AO602">_xlfn.IFS(S602&lt;5000,"Low",
S602&lt;=15000,"Medium",
TRUE,"High")</f>
        <v>Medium</v>
      </c>
    </row>
    <row r="603" spans="1:41" hidden="1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 t="str">
        <f t="shared" si="27"/>
        <v>Active</v>
      </c>
      <c r="AK603">
        <f t="shared" ca="1" si="28"/>
        <v>2015</v>
      </c>
      <c r="AL603">
        <f t="shared" si="29"/>
        <v>0</v>
      </c>
      <c r="AM603" t="e" cm="1">
        <f t="array" aca="1" ref="AM603" ca="1">IF(B603="Yes",YEAR(TODAY()),BLANK())</f>
        <v>#NAME?</v>
      </c>
      <c r="AN603" t="str" cm="1">
        <f t="array" ref="AN603" xml:space="preserve"> _xlfn.IFS(A603&lt;25,"&lt;25",
A603&lt;=35,"25-35",
A603&lt;=45,"36-45",
TRUE,"45+"
)</f>
        <v>36-45</v>
      </c>
      <c r="AO603" t="str" cm="1">
        <f t="array" ref="AO603">_xlfn.IFS(S603&lt;5000,"Low",
S603&lt;=15000,"Medium",
TRUE,"High")</f>
        <v>Medium</v>
      </c>
    </row>
    <row r="604" spans="1:41" hidden="1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 t="str">
        <f t="shared" si="27"/>
        <v>Active</v>
      </c>
      <c r="AK604">
        <f t="shared" ca="1" si="28"/>
        <v>2013</v>
      </c>
      <c r="AL604">
        <f t="shared" si="29"/>
        <v>0</v>
      </c>
      <c r="AM604" t="e" cm="1">
        <f t="array" aca="1" ref="AM604" ca="1">IF(B604="Yes",YEAR(TODAY()),BLANK())</f>
        <v>#NAME?</v>
      </c>
      <c r="AN604" t="str" cm="1">
        <f t="array" ref="AN604" xml:space="preserve"> _xlfn.IFS(A604&lt;25,"&lt;25",
A604&lt;=35,"25-35",
A604&lt;=45,"36-45",
TRUE,"45+"
)</f>
        <v>25-35</v>
      </c>
      <c r="AO604" t="str" cm="1">
        <f t="array" ref="AO604">_xlfn.IFS(S604&lt;5000,"Low",
S604&lt;=15000,"Medium",
TRUE,"High")</f>
        <v>Medium</v>
      </c>
    </row>
    <row r="605" spans="1:41" hidden="1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 t="str">
        <f t="shared" si="27"/>
        <v>Active</v>
      </c>
      <c r="AK605">
        <f t="shared" ca="1" si="28"/>
        <v>2024</v>
      </c>
      <c r="AL605">
        <f t="shared" si="29"/>
        <v>0</v>
      </c>
      <c r="AM605" t="e" cm="1">
        <f t="array" aca="1" ref="AM605" ca="1">IF(B605="Yes",YEAR(TODAY()),BLANK())</f>
        <v>#NAME?</v>
      </c>
      <c r="AN605" t="str" cm="1">
        <f t="array" ref="AN605" xml:space="preserve"> _xlfn.IFS(A605&lt;25,"&lt;25",
A605&lt;=35,"25-35",
A605&lt;=45,"36-45",
TRUE,"45+"
)</f>
        <v>36-45</v>
      </c>
      <c r="AO605" t="str" cm="1">
        <f t="array" ref="AO605">_xlfn.IFS(S605&lt;5000,"Low",
S605&lt;=15000,"Medium",
TRUE,"High")</f>
        <v>Low</v>
      </c>
    </row>
    <row r="606" spans="1:41" hidden="1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 t="str">
        <f t="shared" si="27"/>
        <v>Active</v>
      </c>
      <c r="AK606">
        <f t="shared" ca="1" si="28"/>
        <v>2015</v>
      </c>
      <c r="AL606">
        <f t="shared" si="29"/>
        <v>0</v>
      </c>
      <c r="AM606" t="e" cm="1">
        <f t="array" aca="1" ref="AM606" ca="1">IF(B606="Yes",YEAR(TODAY()),BLANK())</f>
        <v>#NAME?</v>
      </c>
      <c r="AN606" t="str" cm="1">
        <f t="array" ref="AN606" xml:space="preserve"> _xlfn.IFS(A606&lt;25,"&lt;25",
A606&lt;=35,"25-35",
A606&lt;=45,"36-45",
TRUE,"45+"
)</f>
        <v>36-45</v>
      </c>
      <c r="AO606" t="str" cm="1">
        <f t="array" ref="AO606">_xlfn.IFS(S606&lt;5000,"Low",
S606&lt;=15000,"Medium",
TRUE,"High")</f>
        <v>Low</v>
      </c>
    </row>
    <row r="607" spans="1:41" hidden="1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 t="str">
        <f t="shared" si="27"/>
        <v>Active</v>
      </c>
      <c r="AK607">
        <f t="shared" ca="1" si="28"/>
        <v>2012</v>
      </c>
      <c r="AL607">
        <f t="shared" si="29"/>
        <v>0</v>
      </c>
      <c r="AM607" t="e" cm="1">
        <f t="array" aca="1" ref="AM607" ca="1">IF(B607="Yes",YEAR(TODAY()),BLANK())</f>
        <v>#NAME?</v>
      </c>
      <c r="AN607" t="str" cm="1">
        <f t="array" ref="AN607" xml:space="preserve"> _xlfn.IFS(A607&lt;25,"&lt;25",
A607&lt;=35,"25-35",
A607&lt;=45,"36-45",
TRUE,"45+"
)</f>
        <v>36-45</v>
      </c>
      <c r="AO607" t="str" cm="1">
        <f t="array" ref="AO607">_xlfn.IFS(S607&lt;5000,"Low",
S607&lt;=15000,"Medium",
TRUE,"High")</f>
        <v>Medium</v>
      </c>
    </row>
    <row r="608" spans="1:41" hidden="1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 t="str">
        <f t="shared" si="27"/>
        <v>Active</v>
      </c>
      <c r="AK608">
        <f t="shared" ca="1" si="28"/>
        <v>2019</v>
      </c>
      <c r="AL608">
        <f t="shared" si="29"/>
        <v>0</v>
      </c>
      <c r="AM608" t="e" cm="1">
        <f t="array" aca="1" ref="AM608" ca="1">IF(B608="Yes",YEAR(TODAY()),BLANK())</f>
        <v>#NAME?</v>
      </c>
      <c r="AN608" t="str" cm="1">
        <f t="array" ref="AN608" xml:space="preserve"> _xlfn.IFS(A608&lt;25,"&lt;25",
A608&lt;=35,"25-35",
A608&lt;=45,"36-45",
TRUE,"45+"
)</f>
        <v>25-35</v>
      </c>
      <c r="AO608" t="str" cm="1">
        <f t="array" ref="AO608">_xlfn.IFS(S608&lt;5000,"Low",
S608&lt;=15000,"Medium",
TRUE,"High")</f>
        <v>Low</v>
      </c>
    </row>
    <row r="609" spans="1:41" hidden="1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 t="str">
        <f t="shared" si="27"/>
        <v>Resigned</v>
      </c>
      <c r="AK609">
        <f t="shared" ca="1" si="28"/>
        <v>2016</v>
      </c>
      <c r="AL609">
        <f t="shared" si="29"/>
        <v>1</v>
      </c>
      <c r="AM609" cm="1">
        <f t="array" aca="1" ref="AM609" ca="1">IF(B609="Yes",YEAR(TODAY()),BLANK())</f>
        <v>2025</v>
      </c>
      <c r="AN609" t="str" cm="1">
        <f t="array" ref="AN609" xml:space="preserve"> _xlfn.IFS(A609&lt;25,"&lt;25",
A609&lt;=35,"25-35",
A609&lt;=45,"36-45",
TRUE,"45+"
)</f>
        <v>45+</v>
      </c>
      <c r="AO609" t="str" cm="1">
        <f t="array" ref="AO609">_xlfn.IFS(S609&lt;5000,"Low",
S609&lt;=15000,"Medium",
TRUE,"High")</f>
        <v>Medium</v>
      </c>
    </row>
    <row r="610" spans="1:41" hidden="1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 t="str">
        <f t="shared" si="27"/>
        <v>Resigned</v>
      </c>
      <c r="AK610">
        <f t="shared" ca="1" si="28"/>
        <v>2013</v>
      </c>
      <c r="AL610">
        <f t="shared" si="29"/>
        <v>1</v>
      </c>
      <c r="AM610" cm="1">
        <f t="array" aca="1" ref="AM610" ca="1">IF(B610="Yes",YEAR(TODAY()),BLANK())</f>
        <v>2025</v>
      </c>
      <c r="AN610" t="str" cm="1">
        <f t="array" ref="AN610" xml:space="preserve"> _xlfn.IFS(A610&lt;25,"&lt;25",
A610&lt;=35,"25-35",
A610&lt;=45,"36-45",
TRUE,"45+"
)</f>
        <v>45+</v>
      </c>
      <c r="AO610" t="str" cm="1">
        <f t="array" ref="AO610">_xlfn.IFS(S610&lt;5000,"Low",
S610&lt;=15000,"Medium",
TRUE,"High")</f>
        <v>Medium</v>
      </c>
    </row>
    <row r="611" spans="1:41" hidden="1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 t="str">
        <f t="shared" si="27"/>
        <v>Active</v>
      </c>
      <c r="AK611">
        <f t="shared" ca="1" si="28"/>
        <v>2003</v>
      </c>
      <c r="AL611">
        <f t="shared" si="29"/>
        <v>0</v>
      </c>
      <c r="AM611" t="e" cm="1">
        <f t="array" aca="1" ref="AM611" ca="1">IF(B611="Yes",YEAR(TODAY()),BLANK())</f>
        <v>#NAME?</v>
      </c>
      <c r="AN611" t="str" cm="1">
        <f t="array" ref="AN611" xml:space="preserve"> _xlfn.IFS(A611&lt;25,"&lt;25",
A611&lt;=35,"25-35",
A611&lt;=45,"36-45",
TRUE,"45+"
)</f>
        <v>36-45</v>
      </c>
      <c r="AO611" t="str" cm="1">
        <f t="array" ref="AO611">_xlfn.IFS(S611&lt;5000,"Low",
S611&lt;=15000,"Medium",
TRUE,"High")</f>
        <v>High</v>
      </c>
    </row>
    <row r="612" spans="1:41" hidden="1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 t="str">
        <f t="shared" si="27"/>
        <v>Active</v>
      </c>
      <c r="AK612">
        <f t="shared" ca="1" si="28"/>
        <v>2016</v>
      </c>
      <c r="AL612">
        <f t="shared" si="29"/>
        <v>0</v>
      </c>
      <c r="AM612" t="e" cm="1">
        <f t="array" aca="1" ref="AM612" ca="1">IF(B612="Yes",YEAR(TODAY()),BLANK())</f>
        <v>#NAME?</v>
      </c>
      <c r="AN612" t="str" cm="1">
        <f t="array" ref="AN612" xml:space="preserve"> _xlfn.IFS(A612&lt;25,"&lt;25",
A612&lt;=35,"25-35",
A612&lt;=45,"36-45",
TRUE,"45+"
)</f>
        <v>25-35</v>
      </c>
      <c r="AO612" t="str" cm="1">
        <f t="array" ref="AO612">_xlfn.IFS(S612&lt;5000,"Low",
S612&lt;=15000,"Medium",
TRUE,"High")</f>
        <v>Medium</v>
      </c>
    </row>
    <row r="613" spans="1:41" hidden="1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 t="str">
        <f t="shared" si="27"/>
        <v>Active</v>
      </c>
      <c r="AK613">
        <f t="shared" ca="1" si="28"/>
        <v>2008</v>
      </c>
      <c r="AL613">
        <f t="shared" si="29"/>
        <v>0</v>
      </c>
      <c r="AM613" t="e" cm="1">
        <f t="array" aca="1" ref="AM613" ca="1">IF(B613="Yes",YEAR(TODAY()),BLANK())</f>
        <v>#NAME?</v>
      </c>
      <c r="AN613" t="str" cm="1">
        <f t="array" ref="AN613" xml:space="preserve"> _xlfn.IFS(A613&lt;25,"&lt;25",
A613&lt;=35,"25-35",
A613&lt;=45,"36-45",
TRUE,"45+"
)</f>
        <v>25-35</v>
      </c>
      <c r="AO613" t="str" cm="1">
        <f t="array" ref="AO613">_xlfn.IFS(S613&lt;5000,"Low",
S613&lt;=15000,"Medium",
TRUE,"High")</f>
        <v>Medium</v>
      </c>
    </row>
    <row r="614" spans="1:41" hidden="1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 t="str">
        <f t="shared" si="27"/>
        <v>Active</v>
      </c>
      <c r="AK614">
        <f t="shared" ca="1" si="28"/>
        <v>2017</v>
      </c>
      <c r="AL614">
        <f t="shared" si="29"/>
        <v>0</v>
      </c>
      <c r="AM614" t="e" cm="1">
        <f t="array" aca="1" ref="AM614" ca="1">IF(B614="Yes",YEAR(TODAY()),BLANK())</f>
        <v>#NAME?</v>
      </c>
      <c r="AN614" t="str" cm="1">
        <f t="array" ref="AN614" xml:space="preserve"> _xlfn.IFS(A614&lt;25,"&lt;25",
A614&lt;=35,"25-35",
A614&lt;=45,"36-45",
TRUE,"45+"
)</f>
        <v>25-35</v>
      </c>
      <c r="AO614" t="str" cm="1">
        <f t="array" ref="AO614">_xlfn.IFS(S614&lt;5000,"Low",
S614&lt;=15000,"Medium",
TRUE,"High")</f>
        <v>Low</v>
      </c>
    </row>
    <row r="615" spans="1:41" hidden="1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 t="str">
        <f t="shared" si="27"/>
        <v>Active</v>
      </c>
      <c r="AK615">
        <f t="shared" ca="1" si="28"/>
        <v>2021</v>
      </c>
      <c r="AL615">
        <f t="shared" si="29"/>
        <v>0</v>
      </c>
      <c r="AM615" t="e" cm="1">
        <f t="array" aca="1" ref="AM615" ca="1">IF(B615="Yes",YEAR(TODAY()),BLANK())</f>
        <v>#NAME?</v>
      </c>
      <c r="AN615" t="str" cm="1">
        <f t="array" ref="AN615" xml:space="preserve"> _xlfn.IFS(A615&lt;25,"&lt;25",
A615&lt;=35,"25-35",
A615&lt;=45,"36-45",
TRUE,"45+"
)</f>
        <v>25-35</v>
      </c>
      <c r="AO615" t="str" cm="1">
        <f t="array" ref="AO615">_xlfn.IFS(S615&lt;5000,"Low",
S615&lt;=15000,"Medium",
TRUE,"High")</f>
        <v>Low</v>
      </c>
    </row>
    <row r="616" spans="1:41" hidden="1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 t="str">
        <f t="shared" si="27"/>
        <v>Resigned</v>
      </c>
      <c r="AK616">
        <f t="shared" ca="1" si="28"/>
        <v>2017</v>
      </c>
      <c r="AL616">
        <f t="shared" si="29"/>
        <v>1</v>
      </c>
      <c r="AM616" cm="1">
        <f t="array" aca="1" ref="AM616" ca="1">IF(B616="Yes",YEAR(TODAY()),BLANK())</f>
        <v>2025</v>
      </c>
      <c r="AN616" t="str" cm="1">
        <f t="array" ref="AN616" xml:space="preserve"> _xlfn.IFS(A616&lt;25,"&lt;25",
A616&lt;=35,"25-35",
A616&lt;=45,"36-45",
TRUE,"45+"
)</f>
        <v>25-35</v>
      </c>
      <c r="AO616" t="str" cm="1">
        <f t="array" ref="AO616">_xlfn.IFS(S616&lt;5000,"Low",
S616&lt;=15000,"Medium",
TRUE,"High")</f>
        <v>Low</v>
      </c>
    </row>
    <row r="617" spans="1:41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 t="str">
        <f t="shared" si="27"/>
        <v>Active</v>
      </c>
      <c r="AK617">
        <f t="shared" ca="1" si="28"/>
        <v>2025</v>
      </c>
      <c r="AL617">
        <f t="shared" si="29"/>
        <v>0</v>
      </c>
      <c r="AM617" t="e" cm="1">
        <f t="array" aca="1" ref="AM617" ca="1">IF(B617="Yes",YEAR(TODAY()),BLANK())</f>
        <v>#NAME?</v>
      </c>
      <c r="AN617" t="str" cm="1">
        <f t="array" ref="AN617" xml:space="preserve"> _xlfn.IFS(A617&lt;25,"&lt;25",
A617&lt;=35,"25-35",
A617&lt;=45,"36-45",
TRUE,"45+"
)</f>
        <v>25-35</v>
      </c>
      <c r="AO617" t="str" cm="1">
        <f t="array" ref="AO617">_xlfn.IFS(S617&lt;5000,"Low",
S617&lt;=15000,"Medium",
TRUE,"High")</f>
        <v>Low</v>
      </c>
    </row>
    <row r="618" spans="1:41" hidden="1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 t="str">
        <f t="shared" si="27"/>
        <v>Active</v>
      </c>
      <c r="AK618">
        <f t="shared" ca="1" si="28"/>
        <v>1996</v>
      </c>
      <c r="AL618">
        <f t="shared" si="29"/>
        <v>0</v>
      </c>
      <c r="AM618" t="e" cm="1">
        <f t="array" aca="1" ref="AM618" ca="1">IF(B618="Yes",YEAR(TODAY()),BLANK())</f>
        <v>#NAME?</v>
      </c>
      <c r="AN618" t="str" cm="1">
        <f t="array" ref="AN618" xml:space="preserve"> _xlfn.IFS(A618&lt;25,"&lt;25",
A618&lt;=35,"25-35",
A618&lt;=45,"36-45",
TRUE,"45+"
)</f>
        <v>45+</v>
      </c>
      <c r="AO618" t="str" cm="1">
        <f t="array" ref="AO618">_xlfn.IFS(S618&lt;5000,"Low",
S618&lt;=15000,"Medium",
TRUE,"High")</f>
        <v>High</v>
      </c>
    </row>
    <row r="619" spans="1:41" hidden="1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 t="str">
        <f t="shared" si="27"/>
        <v>Active</v>
      </c>
      <c r="AK619">
        <f t="shared" ca="1" si="28"/>
        <v>2015</v>
      </c>
      <c r="AL619">
        <f t="shared" si="29"/>
        <v>0</v>
      </c>
      <c r="AM619" t="e" cm="1">
        <f t="array" aca="1" ref="AM619" ca="1">IF(B619="Yes",YEAR(TODAY()),BLANK())</f>
        <v>#NAME?</v>
      </c>
      <c r="AN619" t="str" cm="1">
        <f t="array" ref="AN619" xml:space="preserve"> _xlfn.IFS(A619&lt;25,"&lt;25",
A619&lt;=35,"25-35",
A619&lt;=45,"36-45",
TRUE,"45+"
)</f>
        <v>36-45</v>
      </c>
      <c r="AO619" t="str" cm="1">
        <f t="array" ref="AO619">_xlfn.IFS(S619&lt;5000,"Low",
S619&lt;=15000,"Medium",
TRUE,"High")</f>
        <v>Medium</v>
      </c>
    </row>
    <row r="620" spans="1:41" hidden="1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 t="str">
        <f t="shared" si="27"/>
        <v>Active</v>
      </c>
      <c r="AK620">
        <f t="shared" ca="1" si="28"/>
        <v>2019</v>
      </c>
      <c r="AL620">
        <f t="shared" si="29"/>
        <v>0</v>
      </c>
      <c r="AM620" t="e" cm="1">
        <f t="array" aca="1" ref="AM620" ca="1">IF(B620="Yes",YEAR(TODAY()),BLANK())</f>
        <v>#NAME?</v>
      </c>
      <c r="AN620" t="str" cm="1">
        <f t="array" ref="AN620" xml:space="preserve"> _xlfn.IFS(A620&lt;25,"&lt;25",
A620&lt;=35,"25-35",
A620&lt;=45,"36-45",
TRUE,"45+"
)</f>
        <v>25-35</v>
      </c>
      <c r="AO620" t="str" cm="1">
        <f t="array" ref="AO620">_xlfn.IFS(S620&lt;5000,"Low",
S620&lt;=15000,"Medium",
TRUE,"High")</f>
        <v>Low</v>
      </c>
    </row>
    <row r="621" spans="1:41" hidden="1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 t="str">
        <f t="shared" si="27"/>
        <v>Active</v>
      </c>
      <c r="AK621">
        <f t="shared" ca="1" si="28"/>
        <v>2016</v>
      </c>
      <c r="AL621">
        <f t="shared" si="29"/>
        <v>0</v>
      </c>
      <c r="AM621" t="e" cm="1">
        <f t="array" aca="1" ref="AM621" ca="1">IF(B621="Yes",YEAR(TODAY()),BLANK())</f>
        <v>#NAME?</v>
      </c>
      <c r="AN621" t="str" cm="1">
        <f t="array" ref="AN621" xml:space="preserve"> _xlfn.IFS(A621&lt;25,"&lt;25",
A621&lt;=35,"25-35",
A621&lt;=45,"36-45",
TRUE,"45+"
)</f>
        <v>25-35</v>
      </c>
      <c r="AO621" t="str" cm="1">
        <f t="array" ref="AO621">_xlfn.IFS(S621&lt;5000,"Low",
S621&lt;=15000,"Medium",
TRUE,"High")</f>
        <v>Low</v>
      </c>
    </row>
    <row r="622" spans="1:41" hidden="1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 t="str">
        <f t="shared" si="27"/>
        <v>Active</v>
      </c>
      <c r="AK622">
        <f t="shared" ca="1" si="28"/>
        <v>2019</v>
      </c>
      <c r="AL622">
        <f t="shared" si="29"/>
        <v>0</v>
      </c>
      <c r="AM622" t="e" cm="1">
        <f t="array" aca="1" ref="AM622" ca="1">IF(B622="Yes",YEAR(TODAY()),BLANK())</f>
        <v>#NAME?</v>
      </c>
      <c r="AN622" t="str" cm="1">
        <f t="array" ref="AN622" xml:space="preserve"> _xlfn.IFS(A622&lt;25,"&lt;25",
A622&lt;=35,"25-35",
A622&lt;=45,"36-45",
TRUE,"45+"
)</f>
        <v>25-35</v>
      </c>
      <c r="AO622" t="str" cm="1">
        <f t="array" ref="AO622">_xlfn.IFS(S622&lt;5000,"Low",
S622&lt;=15000,"Medium",
TRUE,"High")</f>
        <v>Low</v>
      </c>
    </row>
    <row r="623" spans="1:41" hidden="1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 t="str">
        <f t="shared" si="27"/>
        <v>Active</v>
      </c>
      <c r="AK623">
        <f t="shared" ca="1" si="28"/>
        <v>2007</v>
      </c>
      <c r="AL623">
        <f t="shared" si="29"/>
        <v>0</v>
      </c>
      <c r="AM623" t="e" cm="1">
        <f t="array" aca="1" ref="AM623" ca="1">IF(B623="Yes",YEAR(TODAY()),BLANK())</f>
        <v>#NAME?</v>
      </c>
      <c r="AN623" t="str" cm="1">
        <f t="array" ref="AN623" xml:space="preserve"> _xlfn.IFS(A623&lt;25,"&lt;25",
A623&lt;=35,"25-35",
A623&lt;=45,"36-45",
TRUE,"45+"
)</f>
        <v>36-45</v>
      </c>
      <c r="AO623" t="str" cm="1">
        <f t="array" ref="AO623">_xlfn.IFS(S623&lt;5000,"Low",
S623&lt;=15000,"Medium",
TRUE,"High")</f>
        <v>Medium</v>
      </c>
    </row>
    <row r="624" spans="1:41" hidden="1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 t="str">
        <f t="shared" si="27"/>
        <v>Active</v>
      </c>
      <c r="AK624">
        <f t="shared" ca="1" si="28"/>
        <v>2017</v>
      </c>
      <c r="AL624">
        <f t="shared" si="29"/>
        <v>0</v>
      </c>
      <c r="AM624" t="e" cm="1">
        <f t="array" aca="1" ref="AM624" ca="1">IF(B624="Yes",YEAR(TODAY()),BLANK())</f>
        <v>#NAME?</v>
      </c>
      <c r="AN624" t="str" cm="1">
        <f t="array" ref="AN624" xml:space="preserve"> _xlfn.IFS(A624&lt;25,"&lt;25",
A624&lt;=35,"25-35",
A624&lt;=45,"36-45",
TRUE,"45+"
)</f>
        <v>25-35</v>
      </c>
      <c r="AO624" t="str" cm="1">
        <f t="array" ref="AO624">_xlfn.IFS(S624&lt;5000,"Low",
S624&lt;=15000,"Medium",
TRUE,"High")</f>
        <v>Low</v>
      </c>
    </row>
    <row r="625" spans="1:41" hidden="1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 t="str">
        <f t="shared" si="27"/>
        <v>Active</v>
      </c>
      <c r="AK625">
        <f t="shared" ca="1" si="28"/>
        <v>2015</v>
      </c>
      <c r="AL625">
        <f t="shared" si="29"/>
        <v>0</v>
      </c>
      <c r="AM625" t="e" cm="1">
        <f t="array" aca="1" ref="AM625" ca="1">IF(B625="Yes",YEAR(TODAY()),BLANK())</f>
        <v>#NAME?</v>
      </c>
      <c r="AN625" t="str" cm="1">
        <f t="array" ref="AN625" xml:space="preserve"> _xlfn.IFS(A625&lt;25,"&lt;25",
A625&lt;=35,"25-35",
A625&lt;=45,"36-45",
TRUE,"45+"
)</f>
        <v>25-35</v>
      </c>
      <c r="AO625" t="str" cm="1">
        <f t="array" ref="AO625">_xlfn.IFS(S625&lt;5000,"Low",
S625&lt;=15000,"Medium",
TRUE,"High")</f>
        <v>Low</v>
      </c>
    </row>
    <row r="626" spans="1:41" hidden="1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 t="str">
        <f t="shared" si="27"/>
        <v>Active</v>
      </c>
      <c r="AK626">
        <f t="shared" ca="1" si="28"/>
        <v>1990</v>
      </c>
      <c r="AL626">
        <f t="shared" si="29"/>
        <v>0</v>
      </c>
      <c r="AM626" t="e" cm="1">
        <f t="array" aca="1" ref="AM626" ca="1">IF(B626="Yes",YEAR(TODAY()),BLANK())</f>
        <v>#NAME?</v>
      </c>
      <c r="AN626" t="str" cm="1">
        <f t="array" ref="AN626" xml:space="preserve"> _xlfn.IFS(A626&lt;25,"&lt;25",
A626&lt;=35,"25-35",
A626&lt;=45,"36-45",
TRUE,"45+"
)</f>
        <v>45+</v>
      </c>
      <c r="AO626" t="str" cm="1">
        <f t="array" ref="AO626">_xlfn.IFS(S626&lt;5000,"Low",
S626&lt;=15000,"Medium",
TRUE,"High")</f>
        <v>Medium</v>
      </c>
    </row>
    <row r="627" spans="1:41" hidden="1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 t="str">
        <f t="shared" si="27"/>
        <v>Active</v>
      </c>
      <c r="AK627">
        <f t="shared" ca="1" si="28"/>
        <v>2007</v>
      </c>
      <c r="AL627">
        <f t="shared" si="29"/>
        <v>0</v>
      </c>
      <c r="AM627" t="e" cm="1">
        <f t="array" aca="1" ref="AM627" ca="1">IF(B627="Yes",YEAR(TODAY()),BLANK())</f>
        <v>#NAME?</v>
      </c>
      <c r="AN627" t="str" cm="1">
        <f t="array" ref="AN627" xml:space="preserve"> _xlfn.IFS(A627&lt;25,"&lt;25",
A627&lt;=35,"25-35",
A627&lt;=45,"36-45",
TRUE,"45+"
)</f>
        <v>36-45</v>
      </c>
      <c r="AO627" t="str" cm="1">
        <f t="array" ref="AO627">_xlfn.IFS(S627&lt;5000,"Low",
S627&lt;=15000,"Medium",
TRUE,"High")</f>
        <v>Medium</v>
      </c>
    </row>
    <row r="628" spans="1:41" hidden="1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 t="str">
        <f t="shared" si="27"/>
        <v>Active</v>
      </c>
      <c r="AK628">
        <f t="shared" ca="1" si="28"/>
        <v>2016</v>
      </c>
      <c r="AL628">
        <f t="shared" si="29"/>
        <v>0</v>
      </c>
      <c r="AM628" t="e" cm="1">
        <f t="array" aca="1" ref="AM628" ca="1">IF(B628="Yes",YEAR(TODAY()),BLANK())</f>
        <v>#NAME?</v>
      </c>
      <c r="AN628" t="str" cm="1">
        <f t="array" ref="AN628" xml:space="preserve"> _xlfn.IFS(A628&lt;25,"&lt;25",
A628&lt;=35,"25-35",
A628&lt;=45,"36-45",
TRUE,"45+"
)</f>
        <v>25-35</v>
      </c>
      <c r="AO628" t="str" cm="1">
        <f t="array" ref="AO628">_xlfn.IFS(S628&lt;5000,"Low",
S628&lt;=15000,"Medium",
TRUE,"High")</f>
        <v>Medium</v>
      </c>
    </row>
    <row r="629" spans="1:41" hidden="1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 t="str">
        <f t="shared" si="27"/>
        <v>Active</v>
      </c>
      <c r="AK629">
        <f t="shared" ca="1" si="28"/>
        <v>1994</v>
      </c>
      <c r="AL629">
        <f t="shared" si="29"/>
        <v>0</v>
      </c>
      <c r="AM629" t="e" cm="1">
        <f t="array" aca="1" ref="AM629" ca="1">IF(B629="Yes",YEAR(TODAY()),BLANK())</f>
        <v>#NAME?</v>
      </c>
      <c r="AN629" t="str" cm="1">
        <f t="array" ref="AN629" xml:space="preserve"> _xlfn.IFS(A629&lt;25,"&lt;25",
A629&lt;=35,"25-35",
A629&lt;=45,"36-45",
TRUE,"45+"
)</f>
        <v>45+</v>
      </c>
      <c r="AO629" t="str" cm="1">
        <f t="array" ref="AO629">_xlfn.IFS(S629&lt;5000,"Low",
S629&lt;=15000,"Medium",
TRUE,"High")</f>
        <v>Medium</v>
      </c>
    </row>
    <row r="630" spans="1:41" hidden="1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 t="str">
        <f t="shared" si="27"/>
        <v>Active</v>
      </c>
      <c r="AK630">
        <f t="shared" ca="1" si="28"/>
        <v>2016</v>
      </c>
      <c r="AL630">
        <f t="shared" si="29"/>
        <v>0</v>
      </c>
      <c r="AM630" t="e" cm="1">
        <f t="array" aca="1" ref="AM630" ca="1">IF(B630="Yes",YEAR(TODAY()),BLANK())</f>
        <v>#NAME?</v>
      </c>
      <c r="AN630" t="str" cm="1">
        <f t="array" ref="AN630" xml:space="preserve"> _xlfn.IFS(A630&lt;25,"&lt;25",
A630&lt;=35,"25-35",
A630&lt;=45,"36-45",
TRUE,"45+"
)</f>
        <v>36-45</v>
      </c>
      <c r="AO630" t="str" cm="1">
        <f t="array" ref="AO630">_xlfn.IFS(S630&lt;5000,"Low",
S630&lt;=15000,"Medium",
TRUE,"High")</f>
        <v>Medium</v>
      </c>
    </row>
    <row r="631" spans="1:41" hidden="1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 t="str">
        <f t="shared" si="27"/>
        <v>Active</v>
      </c>
      <c r="AK631">
        <f t="shared" ca="1" si="28"/>
        <v>2019</v>
      </c>
      <c r="AL631">
        <f t="shared" si="29"/>
        <v>0</v>
      </c>
      <c r="AM631" t="e" cm="1">
        <f t="array" aca="1" ref="AM631" ca="1">IF(B631="Yes",YEAR(TODAY()),BLANK())</f>
        <v>#NAME?</v>
      </c>
      <c r="AN631" t="str" cm="1">
        <f t="array" ref="AN631" xml:space="preserve"> _xlfn.IFS(A631&lt;25,"&lt;25",
A631&lt;=35,"25-35",
A631&lt;=45,"36-45",
TRUE,"45+"
)</f>
        <v>25-35</v>
      </c>
      <c r="AO631" t="str" cm="1">
        <f t="array" ref="AO631">_xlfn.IFS(S631&lt;5000,"Low",
S631&lt;=15000,"Medium",
TRUE,"High")</f>
        <v>Low</v>
      </c>
    </row>
    <row r="632" spans="1:41" hidden="1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 t="str">
        <f t="shared" si="27"/>
        <v>Active</v>
      </c>
      <c r="AK632">
        <f t="shared" ca="1" si="28"/>
        <v>2021</v>
      </c>
      <c r="AL632">
        <f t="shared" si="29"/>
        <v>0</v>
      </c>
      <c r="AM632" t="e" cm="1">
        <f t="array" aca="1" ref="AM632" ca="1">IF(B632="Yes",YEAR(TODAY()),BLANK())</f>
        <v>#NAME?</v>
      </c>
      <c r="AN632" t="str" cm="1">
        <f t="array" ref="AN632" xml:space="preserve"> _xlfn.IFS(A632&lt;25,"&lt;25",
A632&lt;=35,"25-35",
A632&lt;=45,"36-45",
TRUE,"45+"
)</f>
        <v>&lt;25</v>
      </c>
      <c r="AO632" t="str" cm="1">
        <f t="array" ref="AO632">_xlfn.IFS(S632&lt;5000,"Low",
S632&lt;=15000,"Medium",
TRUE,"High")</f>
        <v>Low</v>
      </c>
    </row>
    <row r="633" spans="1:41" hidden="1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 t="str">
        <f t="shared" si="27"/>
        <v>Active</v>
      </c>
      <c r="AK633">
        <f t="shared" ca="1" si="28"/>
        <v>2015</v>
      </c>
      <c r="AL633">
        <f t="shared" si="29"/>
        <v>0</v>
      </c>
      <c r="AM633" t="e" cm="1">
        <f t="array" aca="1" ref="AM633" ca="1">IF(B633="Yes",YEAR(TODAY()),BLANK())</f>
        <v>#NAME?</v>
      </c>
      <c r="AN633" t="str" cm="1">
        <f t="array" ref="AN633" xml:space="preserve"> _xlfn.IFS(A633&lt;25,"&lt;25",
A633&lt;=35,"25-35",
A633&lt;=45,"36-45",
TRUE,"45+"
)</f>
        <v>36-45</v>
      </c>
      <c r="AO633" t="str" cm="1">
        <f t="array" ref="AO633">_xlfn.IFS(S633&lt;5000,"Low",
S633&lt;=15000,"Medium",
TRUE,"High")</f>
        <v>Low</v>
      </c>
    </row>
    <row r="634" spans="1:41" hidden="1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 t="str">
        <f t="shared" si="27"/>
        <v>Active</v>
      </c>
      <c r="AK634">
        <f t="shared" ca="1" si="28"/>
        <v>2017</v>
      </c>
      <c r="AL634">
        <f t="shared" si="29"/>
        <v>0</v>
      </c>
      <c r="AM634" t="e" cm="1">
        <f t="array" aca="1" ref="AM634" ca="1">IF(B634="Yes",YEAR(TODAY()),BLANK())</f>
        <v>#NAME?</v>
      </c>
      <c r="AN634" t="str" cm="1">
        <f t="array" ref="AN634" xml:space="preserve"> _xlfn.IFS(A634&lt;25,"&lt;25",
A634&lt;=35,"25-35",
A634&lt;=45,"36-45",
TRUE,"45+"
)</f>
        <v>36-45</v>
      </c>
      <c r="AO634" t="str" cm="1">
        <f t="array" ref="AO634">_xlfn.IFS(S634&lt;5000,"Low",
S634&lt;=15000,"Medium",
TRUE,"High")</f>
        <v>Low</v>
      </c>
    </row>
    <row r="635" spans="1:41" hidden="1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 t="str">
        <f t="shared" si="27"/>
        <v>Active</v>
      </c>
      <c r="AK635">
        <f t="shared" ca="1" si="28"/>
        <v>2019</v>
      </c>
      <c r="AL635">
        <f t="shared" si="29"/>
        <v>0</v>
      </c>
      <c r="AM635" t="e" cm="1">
        <f t="array" aca="1" ref="AM635" ca="1">IF(B635="Yes",YEAR(TODAY()),BLANK())</f>
        <v>#NAME?</v>
      </c>
      <c r="AN635" t="str" cm="1">
        <f t="array" ref="AN635" xml:space="preserve"> _xlfn.IFS(A635&lt;25,"&lt;25",
A635&lt;=35,"25-35",
A635&lt;=45,"36-45",
TRUE,"45+"
)</f>
        <v>36-45</v>
      </c>
      <c r="AO635" t="str" cm="1">
        <f t="array" ref="AO635">_xlfn.IFS(S635&lt;5000,"Low",
S635&lt;=15000,"Medium",
TRUE,"High")</f>
        <v>Low</v>
      </c>
    </row>
    <row r="636" spans="1:41" hidden="1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 t="str">
        <f t="shared" si="27"/>
        <v>Active</v>
      </c>
      <c r="AK636">
        <f t="shared" ca="1" si="28"/>
        <v>2020</v>
      </c>
      <c r="AL636">
        <f t="shared" si="29"/>
        <v>0</v>
      </c>
      <c r="AM636" t="e" cm="1">
        <f t="array" aca="1" ref="AM636" ca="1">IF(B636="Yes",YEAR(TODAY()),BLANK())</f>
        <v>#NAME?</v>
      </c>
      <c r="AN636" t="str" cm="1">
        <f t="array" ref="AN636" xml:space="preserve"> _xlfn.IFS(A636&lt;25,"&lt;25",
A636&lt;=35,"25-35",
A636&lt;=45,"36-45",
TRUE,"45+"
)</f>
        <v>25-35</v>
      </c>
      <c r="AO636" t="str" cm="1">
        <f t="array" ref="AO636">_xlfn.IFS(S636&lt;5000,"Low",
S636&lt;=15000,"Medium",
TRUE,"High")</f>
        <v>Low</v>
      </c>
    </row>
    <row r="637" spans="1:41" hidden="1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 t="str">
        <f t="shared" si="27"/>
        <v>Active</v>
      </c>
      <c r="AK637">
        <f t="shared" ca="1" si="28"/>
        <v>2008</v>
      </c>
      <c r="AL637">
        <f t="shared" si="29"/>
        <v>0</v>
      </c>
      <c r="AM637" t="e" cm="1">
        <f t="array" aca="1" ref="AM637" ca="1">IF(B637="Yes",YEAR(TODAY()),BLANK())</f>
        <v>#NAME?</v>
      </c>
      <c r="AN637" t="str" cm="1">
        <f t="array" ref="AN637" xml:space="preserve"> _xlfn.IFS(A637&lt;25,"&lt;25",
A637&lt;=35,"25-35",
A637&lt;=45,"36-45",
TRUE,"45+"
)</f>
        <v>25-35</v>
      </c>
      <c r="AO637" t="str" cm="1">
        <f t="array" ref="AO637">_xlfn.IFS(S637&lt;5000,"Low",
S637&lt;=15000,"Medium",
TRUE,"High")</f>
        <v>Medium</v>
      </c>
    </row>
    <row r="638" spans="1:41" hidden="1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 t="str">
        <f t="shared" si="27"/>
        <v>Resigned</v>
      </c>
      <c r="AK638">
        <f t="shared" ca="1" si="28"/>
        <v>2015</v>
      </c>
      <c r="AL638">
        <f t="shared" si="29"/>
        <v>1</v>
      </c>
      <c r="AM638" cm="1">
        <f t="array" aca="1" ref="AM638" ca="1">IF(B638="Yes",YEAR(TODAY()),BLANK())</f>
        <v>2025</v>
      </c>
      <c r="AN638" t="str" cm="1">
        <f t="array" ref="AN638" xml:space="preserve"> _xlfn.IFS(A638&lt;25,"&lt;25",
A638&lt;=35,"25-35",
A638&lt;=45,"36-45",
TRUE,"45+"
)</f>
        <v>25-35</v>
      </c>
      <c r="AO638" t="str" cm="1">
        <f t="array" ref="AO638">_xlfn.IFS(S638&lt;5000,"Low",
S638&lt;=15000,"Medium",
TRUE,"High")</f>
        <v>Low</v>
      </c>
    </row>
    <row r="639" spans="1:41" hidden="1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 t="str">
        <f t="shared" si="27"/>
        <v>Active</v>
      </c>
      <c r="AK639">
        <f t="shared" ca="1" si="28"/>
        <v>2021</v>
      </c>
      <c r="AL639">
        <f t="shared" si="29"/>
        <v>0</v>
      </c>
      <c r="AM639" t="e" cm="1">
        <f t="array" aca="1" ref="AM639" ca="1">IF(B639="Yes",YEAR(TODAY()),BLANK())</f>
        <v>#NAME?</v>
      </c>
      <c r="AN639" t="str" cm="1">
        <f t="array" ref="AN639" xml:space="preserve"> _xlfn.IFS(A639&lt;25,"&lt;25",
A639&lt;=35,"25-35",
A639&lt;=45,"36-45",
TRUE,"45+"
)</f>
        <v>25-35</v>
      </c>
      <c r="AO639" t="str" cm="1">
        <f t="array" ref="AO639">_xlfn.IFS(S639&lt;5000,"Low",
S639&lt;=15000,"Medium",
TRUE,"High")</f>
        <v>Low</v>
      </c>
    </row>
    <row r="640" spans="1:41" hidden="1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 t="str">
        <f t="shared" si="27"/>
        <v>Active</v>
      </c>
      <c r="AK640">
        <f t="shared" ca="1" si="28"/>
        <v>2020</v>
      </c>
      <c r="AL640">
        <f t="shared" si="29"/>
        <v>0</v>
      </c>
      <c r="AM640" t="e" cm="1">
        <f t="array" aca="1" ref="AM640" ca="1">IF(B640="Yes",YEAR(TODAY()),BLANK())</f>
        <v>#NAME?</v>
      </c>
      <c r="AN640" t="str" cm="1">
        <f t="array" ref="AN640" xml:space="preserve"> _xlfn.IFS(A640&lt;25,"&lt;25",
A640&lt;=35,"25-35",
A640&lt;=45,"36-45",
TRUE,"45+"
)</f>
        <v>25-35</v>
      </c>
      <c r="AO640" t="str" cm="1">
        <f t="array" ref="AO640">_xlfn.IFS(S640&lt;5000,"Low",
S640&lt;=15000,"Medium",
TRUE,"High")</f>
        <v>Low</v>
      </c>
    </row>
    <row r="641" spans="1:41" hidden="1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 t="str">
        <f t="shared" si="27"/>
        <v>Active</v>
      </c>
      <c r="AK641">
        <f t="shared" ca="1" si="28"/>
        <v>2018</v>
      </c>
      <c r="AL641">
        <f t="shared" si="29"/>
        <v>0</v>
      </c>
      <c r="AM641" t="e" cm="1">
        <f t="array" aca="1" ref="AM641" ca="1">IF(B641="Yes",YEAR(TODAY()),BLANK())</f>
        <v>#NAME?</v>
      </c>
      <c r="AN641" t="str" cm="1">
        <f t="array" ref="AN641" xml:space="preserve"> _xlfn.IFS(A641&lt;25,"&lt;25",
A641&lt;=35,"25-35",
A641&lt;=45,"36-45",
TRUE,"45+"
)</f>
        <v>45+</v>
      </c>
      <c r="AO641" t="str" cm="1">
        <f t="array" ref="AO641">_xlfn.IFS(S641&lt;5000,"Low",
S641&lt;=15000,"Medium",
TRUE,"High")</f>
        <v>Low</v>
      </c>
    </row>
    <row r="642" spans="1:41" hidden="1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 t="str">
        <f t="shared" si="27"/>
        <v>Active</v>
      </c>
      <c r="AK642">
        <f t="shared" ca="1" si="28"/>
        <v>2019</v>
      </c>
      <c r="AL642">
        <f t="shared" si="29"/>
        <v>0</v>
      </c>
      <c r="AM642" t="e" cm="1">
        <f t="array" aca="1" ref="AM642" ca="1">IF(B642="Yes",YEAR(TODAY()),BLANK())</f>
        <v>#NAME?</v>
      </c>
      <c r="AN642" t="str" cm="1">
        <f t="array" ref="AN642" xml:space="preserve"> _xlfn.IFS(A642&lt;25,"&lt;25",
A642&lt;=35,"25-35",
A642&lt;=45,"36-45",
TRUE,"45+"
)</f>
        <v>&lt;25</v>
      </c>
      <c r="AO642" t="str" cm="1">
        <f t="array" ref="AO642">_xlfn.IFS(S642&lt;5000,"Low",
S642&lt;=15000,"Medium",
TRUE,"High")</f>
        <v>Low</v>
      </c>
    </row>
    <row r="643" spans="1:41" hidden="1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 t="str">
        <f t="shared" ref="AJ643:AJ706" si="30">IF(B643="Yes", "Resigned","Active")</f>
        <v>Active</v>
      </c>
      <c r="AK643">
        <f t="shared" ref="AK643:AK706" ca="1" si="31">YEAR(TODAY()) - AC643</f>
        <v>2015</v>
      </c>
      <c r="AL643">
        <f t="shared" ref="AL643:AL706" si="32">IF(B643="Yes",1,0)</f>
        <v>0</v>
      </c>
      <c r="AM643" t="e" cm="1">
        <f t="array" aca="1" ref="AM643" ca="1">IF(B643="Yes",YEAR(TODAY()),BLANK())</f>
        <v>#NAME?</v>
      </c>
      <c r="AN643" t="str" cm="1">
        <f t="array" ref="AN643" xml:space="preserve"> _xlfn.IFS(A643&lt;25,"&lt;25",
A643&lt;=35,"25-35",
A643&lt;=45,"36-45",
TRUE,"45+"
)</f>
        <v>25-35</v>
      </c>
      <c r="AO643" t="str" cm="1">
        <f t="array" ref="AO643">_xlfn.IFS(S643&lt;5000,"Low",
S643&lt;=15000,"Medium",
TRUE,"High")</f>
        <v>Medium</v>
      </c>
    </row>
    <row r="644" spans="1:41" hidden="1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 t="str">
        <f t="shared" si="30"/>
        <v>Active</v>
      </c>
      <c r="AK644">
        <f t="shared" ca="1" si="31"/>
        <v>2022</v>
      </c>
      <c r="AL644">
        <f t="shared" si="32"/>
        <v>0</v>
      </c>
      <c r="AM644" t="e" cm="1">
        <f t="array" aca="1" ref="AM644" ca="1">IF(B644="Yes",YEAR(TODAY()),BLANK())</f>
        <v>#NAME?</v>
      </c>
      <c r="AN644" t="str" cm="1">
        <f t="array" ref="AN644" xml:space="preserve"> _xlfn.IFS(A644&lt;25,"&lt;25",
A644&lt;=35,"25-35",
A644&lt;=45,"36-45",
TRUE,"45+"
)</f>
        <v>36-45</v>
      </c>
      <c r="AO644" t="str" cm="1">
        <f t="array" ref="AO644">_xlfn.IFS(S644&lt;5000,"Low",
S644&lt;=15000,"Medium",
TRUE,"High")</f>
        <v>Low</v>
      </c>
    </row>
    <row r="645" spans="1:41" hidden="1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 t="str">
        <f t="shared" si="30"/>
        <v>Active</v>
      </c>
      <c r="AK645">
        <f t="shared" ca="1" si="31"/>
        <v>2008</v>
      </c>
      <c r="AL645">
        <f t="shared" si="32"/>
        <v>0</v>
      </c>
      <c r="AM645" t="e" cm="1">
        <f t="array" aca="1" ref="AM645" ca="1">IF(B645="Yes",YEAR(TODAY()),BLANK())</f>
        <v>#NAME?</v>
      </c>
      <c r="AN645" t="str" cm="1">
        <f t="array" ref="AN645" xml:space="preserve"> _xlfn.IFS(A645&lt;25,"&lt;25",
A645&lt;=35,"25-35",
A645&lt;=45,"36-45",
TRUE,"45+"
)</f>
        <v>36-45</v>
      </c>
      <c r="AO645" t="str" cm="1">
        <f t="array" ref="AO645">_xlfn.IFS(S645&lt;5000,"Low",
S645&lt;=15000,"Medium",
TRUE,"High")</f>
        <v>Medium</v>
      </c>
    </row>
    <row r="646" spans="1:41" hidden="1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 t="str">
        <f t="shared" si="30"/>
        <v>Active</v>
      </c>
      <c r="AK646">
        <f t="shared" ca="1" si="31"/>
        <v>2017</v>
      </c>
      <c r="AL646">
        <f t="shared" si="32"/>
        <v>0</v>
      </c>
      <c r="AM646" t="e" cm="1">
        <f t="array" aca="1" ref="AM646" ca="1">IF(B646="Yes",YEAR(TODAY()),BLANK())</f>
        <v>#NAME?</v>
      </c>
      <c r="AN646" t="str" cm="1">
        <f t="array" ref="AN646" xml:space="preserve"> _xlfn.IFS(A646&lt;25,"&lt;25",
A646&lt;=35,"25-35",
A646&lt;=45,"36-45",
TRUE,"45+"
)</f>
        <v>25-35</v>
      </c>
      <c r="AO646" t="str" cm="1">
        <f t="array" ref="AO646">_xlfn.IFS(S646&lt;5000,"Low",
S646&lt;=15000,"Medium",
TRUE,"High")</f>
        <v>Low</v>
      </c>
    </row>
    <row r="647" spans="1:41" hidden="1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 t="str">
        <f t="shared" si="30"/>
        <v>Resigned</v>
      </c>
      <c r="AK647">
        <f t="shared" ca="1" si="31"/>
        <v>2020</v>
      </c>
      <c r="AL647">
        <f t="shared" si="32"/>
        <v>1</v>
      </c>
      <c r="AM647" cm="1">
        <f t="array" aca="1" ref="AM647" ca="1">IF(B647="Yes",YEAR(TODAY()),BLANK())</f>
        <v>2025</v>
      </c>
      <c r="AN647" t="str" cm="1">
        <f t="array" ref="AN647" xml:space="preserve"> _xlfn.IFS(A647&lt;25,"&lt;25",
A647&lt;=35,"25-35",
A647&lt;=45,"36-45",
TRUE,"45+"
)</f>
        <v>25-35</v>
      </c>
      <c r="AO647" t="str" cm="1">
        <f t="array" ref="AO647">_xlfn.IFS(S647&lt;5000,"Low",
S647&lt;=15000,"Medium",
TRUE,"High")</f>
        <v>Low</v>
      </c>
    </row>
    <row r="648" spans="1:41" hidden="1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 t="str">
        <f t="shared" si="30"/>
        <v>Active</v>
      </c>
      <c r="AK648">
        <f t="shared" ca="1" si="31"/>
        <v>1997</v>
      </c>
      <c r="AL648">
        <f t="shared" si="32"/>
        <v>0</v>
      </c>
      <c r="AM648" t="e" cm="1">
        <f t="array" aca="1" ref="AM648" ca="1">IF(B648="Yes",YEAR(TODAY()),BLANK())</f>
        <v>#NAME?</v>
      </c>
      <c r="AN648" t="str" cm="1">
        <f t="array" ref="AN648" xml:space="preserve"> _xlfn.IFS(A648&lt;25,"&lt;25",
A648&lt;=35,"25-35",
A648&lt;=45,"36-45",
TRUE,"45+"
)</f>
        <v>45+</v>
      </c>
      <c r="AO648" t="str" cm="1">
        <f t="array" ref="AO648">_xlfn.IFS(S648&lt;5000,"Low",
S648&lt;=15000,"Medium",
TRUE,"High")</f>
        <v>Medium</v>
      </c>
    </row>
    <row r="649" spans="1:41" hidden="1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 t="str">
        <f t="shared" si="30"/>
        <v>Active</v>
      </c>
      <c r="AK649">
        <f t="shared" ca="1" si="31"/>
        <v>2009</v>
      </c>
      <c r="AL649">
        <f t="shared" si="32"/>
        <v>0</v>
      </c>
      <c r="AM649" t="e" cm="1">
        <f t="array" aca="1" ref="AM649" ca="1">IF(B649="Yes",YEAR(TODAY()),BLANK())</f>
        <v>#NAME?</v>
      </c>
      <c r="AN649" t="str" cm="1">
        <f t="array" ref="AN649" xml:space="preserve"> _xlfn.IFS(A649&lt;25,"&lt;25",
A649&lt;=35,"25-35",
A649&lt;=45,"36-45",
TRUE,"45+"
)</f>
        <v>25-35</v>
      </c>
      <c r="AO649" t="str" cm="1">
        <f t="array" ref="AO649">_xlfn.IFS(S649&lt;5000,"Low",
S649&lt;=15000,"Medium",
TRUE,"High")</f>
        <v>Medium</v>
      </c>
    </row>
    <row r="650" spans="1:41" hidden="1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 t="str">
        <f t="shared" si="30"/>
        <v>Active</v>
      </c>
      <c r="AK650">
        <f t="shared" ca="1" si="31"/>
        <v>2015</v>
      </c>
      <c r="AL650">
        <f t="shared" si="32"/>
        <v>0</v>
      </c>
      <c r="AM650" t="e" cm="1">
        <f t="array" aca="1" ref="AM650" ca="1">IF(B650="Yes",YEAR(TODAY()),BLANK())</f>
        <v>#NAME?</v>
      </c>
      <c r="AN650" t="str" cm="1">
        <f t="array" ref="AN650" xml:space="preserve"> _xlfn.IFS(A650&lt;25,"&lt;25",
A650&lt;=35,"25-35",
A650&lt;=45,"36-45",
TRUE,"45+"
)</f>
        <v>36-45</v>
      </c>
      <c r="AO650" t="str" cm="1">
        <f t="array" ref="AO650">_xlfn.IFS(S650&lt;5000,"Low",
S650&lt;=15000,"Medium",
TRUE,"High")</f>
        <v>Low</v>
      </c>
    </row>
    <row r="651" spans="1:41" hidden="1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 t="str">
        <f t="shared" si="30"/>
        <v>Active</v>
      </c>
      <c r="AK651">
        <f t="shared" ca="1" si="31"/>
        <v>1992</v>
      </c>
      <c r="AL651">
        <f t="shared" si="32"/>
        <v>0</v>
      </c>
      <c r="AM651" t="e" cm="1">
        <f t="array" aca="1" ref="AM651" ca="1">IF(B651="Yes",YEAR(TODAY()),BLANK())</f>
        <v>#NAME?</v>
      </c>
      <c r="AN651" t="str" cm="1">
        <f t="array" ref="AN651" xml:space="preserve"> _xlfn.IFS(A651&lt;25,"&lt;25",
A651&lt;=35,"25-35",
A651&lt;=45,"36-45",
TRUE,"45+"
)</f>
        <v>45+</v>
      </c>
      <c r="AO651" t="str" cm="1">
        <f t="array" ref="AO651">_xlfn.IFS(S651&lt;5000,"Low",
S651&lt;=15000,"Medium",
TRUE,"High")</f>
        <v>Medium</v>
      </c>
    </row>
    <row r="652" spans="1:41" hidden="1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 t="str">
        <f t="shared" si="30"/>
        <v>Active</v>
      </c>
      <c r="AK652">
        <f t="shared" ca="1" si="31"/>
        <v>2013</v>
      </c>
      <c r="AL652">
        <f t="shared" si="32"/>
        <v>0</v>
      </c>
      <c r="AM652" t="e" cm="1">
        <f t="array" aca="1" ref="AM652" ca="1">IF(B652="Yes",YEAR(TODAY()),BLANK())</f>
        <v>#NAME?</v>
      </c>
      <c r="AN652" t="str" cm="1">
        <f t="array" ref="AN652" xml:space="preserve"> _xlfn.IFS(A652&lt;25,"&lt;25",
A652&lt;=35,"25-35",
A652&lt;=45,"36-45",
TRUE,"45+"
)</f>
        <v>36-45</v>
      </c>
      <c r="AO652" t="str" cm="1">
        <f t="array" ref="AO652">_xlfn.IFS(S652&lt;5000,"Low",
S652&lt;=15000,"Medium",
TRUE,"High")</f>
        <v>Medium</v>
      </c>
    </row>
    <row r="653" spans="1:41" hidden="1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 t="str">
        <f t="shared" si="30"/>
        <v>Active</v>
      </c>
      <c r="AK653">
        <f t="shared" ca="1" si="31"/>
        <v>2017</v>
      </c>
      <c r="AL653">
        <f t="shared" si="32"/>
        <v>0</v>
      </c>
      <c r="AM653" t="e" cm="1">
        <f t="array" aca="1" ref="AM653" ca="1">IF(B653="Yes",YEAR(TODAY()),BLANK())</f>
        <v>#NAME?</v>
      </c>
      <c r="AN653" t="str" cm="1">
        <f t="array" ref="AN653" xml:space="preserve"> _xlfn.IFS(A653&lt;25,"&lt;25",
A653&lt;=35,"25-35",
A653&lt;=45,"36-45",
TRUE,"45+"
)</f>
        <v>45+</v>
      </c>
      <c r="AO653" t="str" cm="1">
        <f t="array" ref="AO653">_xlfn.IFS(S653&lt;5000,"Low",
S653&lt;=15000,"Medium",
TRUE,"High")</f>
        <v>Low</v>
      </c>
    </row>
    <row r="654" spans="1:41" hidden="1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 t="str">
        <f t="shared" si="30"/>
        <v>Active</v>
      </c>
      <c r="AK654">
        <f t="shared" ca="1" si="31"/>
        <v>2015</v>
      </c>
      <c r="AL654">
        <f t="shared" si="32"/>
        <v>0</v>
      </c>
      <c r="AM654" t="e" cm="1">
        <f t="array" aca="1" ref="AM654" ca="1">IF(B654="Yes",YEAR(TODAY()),BLANK())</f>
        <v>#NAME?</v>
      </c>
      <c r="AN654" t="str" cm="1">
        <f t="array" ref="AN654" xml:space="preserve"> _xlfn.IFS(A654&lt;25,"&lt;25",
A654&lt;=35,"25-35",
A654&lt;=45,"36-45",
TRUE,"45+"
)</f>
        <v>36-45</v>
      </c>
      <c r="AO654" t="str" cm="1">
        <f t="array" ref="AO654">_xlfn.IFS(S654&lt;5000,"Low",
S654&lt;=15000,"Medium",
TRUE,"High")</f>
        <v>Medium</v>
      </c>
    </row>
    <row r="655" spans="1:41" hidden="1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 t="str">
        <f t="shared" si="30"/>
        <v>Active</v>
      </c>
      <c r="AK655">
        <f t="shared" ca="1" si="31"/>
        <v>1994</v>
      </c>
      <c r="AL655">
        <f t="shared" si="32"/>
        <v>0</v>
      </c>
      <c r="AM655" t="e" cm="1">
        <f t="array" aca="1" ref="AM655" ca="1">IF(B655="Yes",YEAR(TODAY()),BLANK())</f>
        <v>#NAME?</v>
      </c>
      <c r="AN655" t="str" cm="1">
        <f t="array" ref="AN655" xml:space="preserve"> _xlfn.IFS(A655&lt;25,"&lt;25",
A655&lt;=35,"25-35",
A655&lt;=45,"36-45",
TRUE,"45+"
)</f>
        <v>45+</v>
      </c>
      <c r="AO655" t="str" cm="1">
        <f t="array" ref="AO655">_xlfn.IFS(S655&lt;5000,"Low",
S655&lt;=15000,"Medium",
TRUE,"High")</f>
        <v>High</v>
      </c>
    </row>
    <row r="656" spans="1:41" hidden="1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 t="str">
        <f t="shared" si="30"/>
        <v>Active</v>
      </c>
      <c r="AK656">
        <f t="shared" ca="1" si="31"/>
        <v>2012</v>
      </c>
      <c r="AL656">
        <f t="shared" si="32"/>
        <v>0</v>
      </c>
      <c r="AM656" t="e" cm="1">
        <f t="array" aca="1" ref="AM656" ca="1">IF(B656="Yes",YEAR(TODAY()),BLANK())</f>
        <v>#NAME?</v>
      </c>
      <c r="AN656" t="str" cm="1">
        <f t="array" ref="AN656" xml:space="preserve"> _xlfn.IFS(A656&lt;25,"&lt;25",
A656&lt;=35,"25-35",
A656&lt;=45,"36-45",
TRUE,"45+"
)</f>
        <v>36-45</v>
      </c>
      <c r="AO656" t="str" cm="1">
        <f t="array" ref="AO656">_xlfn.IFS(S656&lt;5000,"Low",
S656&lt;=15000,"Medium",
TRUE,"High")</f>
        <v>Medium</v>
      </c>
    </row>
    <row r="657" spans="1:41" hidden="1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 t="str">
        <f t="shared" si="30"/>
        <v>Active</v>
      </c>
      <c r="AK657">
        <f t="shared" ca="1" si="31"/>
        <v>2018</v>
      </c>
      <c r="AL657">
        <f t="shared" si="32"/>
        <v>0</v>
      </c>
      <c r="AM657" t="e" cm="1">
        <f t="array" aca="1" ref="AM657" ca="1">IF(B657="Yes",YEAR(TODAY()),BLANK())</f>
        <v>#NAME?</v>
      </c>
      <c r="AN657" t="str" cm="1">
        <f t="array" ref="AN657" xml:space="preserve"> _xlfn.IFS(A657&lt;25,"&lt;25",
A657&lt;=35,"25-35",
A657&lt;=45,"36-45",
TRUE,"45+"
)</f>
        <v>25-35</v>
      </c>
      <c r="AO657" t="str" cm="1">
        <f t="array" ref="AO657">_xlfn.IFS(S657&lt;5000,"Low",
S657&lt;=15000,"Medium",
TRUE,"High")</f>
        <v>Low</v>
      </c>
    </row>
    <row r="658" spans="1:41" hidden="1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 t="str">
        <f t="shared" si="30"/>
        <v>Resigned</v>
      </c>
      <c r="AK658">
        <f t="shared" ca="1" si="31"/>
        <v>2024</v>
      </c>
      <c r="AL658">
        <f t="shared" si="32"/>
        <v>1</v>
      </c>
      <c r="AM658" cm="1">
        <f t="array" aca="1" ref="AM658" ca="1">IF(B658="Yes",YEAR(TODAY()),BLANK())</f>
        <v>2025</v>
      </c>
      <c r="AN658" t="str" cm="1">
        <f t="array" ref="AN658" xml:space="preserve"> _xlfn.IFS(A658&lt;25,"&lt;25",
A658&lt;=35,"25-35",
A658&lt;=45,"36-45",
TRUE,"45+"
)</f>
        <v>25-35</v>
      </c>
      <c r="AO658" t="str" cm="1">
        <f t="array" ref="AO658">_xlfn.IFS(S658&lt;5000,"Low",
S658&lt;=15000,"Medium",
TRUE,"High")</f>
        <v>Low</v>
      </c>
    </row>
    <row r="659" spans="1:41" hidden="1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 t="str">
        <f t="shared" si="30"/>
        <v>Active</v>
      </c>
      <c r="AK659">
        <f t="shared" ca="1" si="31"/>
        <v>2017</v>
      </c>
      <c r="AL659">
        <f t="shared" si="32"/>
        <v>0</v>
      </c>
      <c r="AM659" t="e" cm="1">
        <f t="array" aca="1" ref="AM659" ca="1">IF(B659="Yes",YEAR(TODAY()),BLANK())</f>
        <v>#NAME?</v>
      </c>
      <c r="AN659" t="str" cm="1">
        <f t="array" ref="AN659" xml:space="preserve"> _xlfn.IFS(A659&lt;25,"&lt;25",
A659&lt;=35,"25-35",
A659&lt;=45,"36-45",
TRUE,"45+"
)</f>
        <v>25-35</v>
      </c>
      <c r="AO659" t="str" cm="1">
        <f t="array" ref="AO659">_xlfn.IFS(S659&lt;5000,"Low",
S659&lt;=15000,"Medium",
TRUE,"High")</f>
        <v>Low</v>
      </c>
    </row>
    <row r="660" spans="1:41" hidden="1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 t="str">
        <f t="shared" si="30"/>
        <v>Active</v>
      </c>
      <c r="AK660">
        <f t="shared" ca="1" si="31"/>
        <v>2017</v>
      </c>
      <c r="AL660">
        <f t="shared" si="32"/>
        <v>0</v>
      </c>
      <c r="AM660" t="e" cm="1">
        <f t="array" aca="1" ref="AM660" ca="1">IF(B660="Yes",YEAR(TODAY()),BLANK())</f>
        <v>#NAME?</v>
      </c>
      <c r="AN660" t="str" cm="1">
        <f t="array" ref="AN660" xml:space="preserve"> _xlfn.IFS(A660&lt;25,"&lt;25",
A660&lt;=35,"25-35",
A660&lt;=45,"36-45",
TRUE,"45+"
)</f>
        <v>36-45</v>
      </c>
      <c r="AO660" t="str" cm="1">
        <f t="array" ref="AO660">_xlfn.IFS(S660&lt;5000,"Low",
S660&lt;=15000,"Medium",
TRUE,"High")</f>
        <v>Low</v>
      </c>
    </row>
    <row r="661" spans="1:41" hidden="1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 t="str">
        <f t="shared" si="30"/>
        <v>Active</v>
      </c>
      <c r="AK661">
        <f t="shared" ca="1" si="31"/>
        <v>2021</v>
      </c>
      <c r="AL661">
        <f t="shared" si="32"/>
        <v>0</v>
      </c>
      <c r="AM661" t="e" cm="1">
        <f t="array" aca="1" ref="AM661" ca="1">IF(B661="Yes",YEAR(TODAY()),BLANK())</f>
        <v>#NAME?</v>
      </c>
      <c r="AN661" t="str" cm="1">
        <f t="array" ref="AN661" xml:space="preserve"> _xlfn.IFS(A661&lt;25,"&lt;25",
A661&lt;=35,"25-35",
A661&lt;=45,"36-45",
TRUE,"45+"
)</f>
        <v>25-35</v>
      </c>
      <c r="AO661" t="str" cm="1">
        <f t="array" ref="AO661">_xlfn.IFS(S661&lt;5000,"Low",
S661&lt;=15000,"Medium",
TRUE,"High")</f>
        <v>Low</v>
      </c>
    </row>
    <row r="662" spans="1:41" hidden="1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 t="str">
        <f t="shared" si="30"/>
        <v>Resigned</v>
      </c>
      <c r="AK662">
        <f t="shared" ca="1" si="31"/>
        <v>2022</v>
      </c>
      <c r="AL662">
        <f t="shared" si="32"/>
        <v>1</v>
      </c>
      <c r="AM662" cm="1">
        <f t="array" aca="1" ref="AM662" ca="1">IF(B662="Yes",YEAR(TODAY()),BLANK())</f>
        <v>2025</v>
      </c>
      <c r="AN662" t="str" cm="1">
        <f t="array" ref="AN662" xml:space="preserve"> _xlfn.IFS(A662&lt;25,"&lt;25",
A662&lt;=35,"25-35",
A662&lt;=45,"36-45",
TRUE,"45+"
)</f>
        <v>45+</v>
      </c>
      <c r="AO662" t="str" cm="1">
        <f t="array" ref="AO662">_xlfn.IFS(S662&lt;5000,"Low",
S662&lt;=15000,"Medium",
TRUE,"High")</f>
        <v>Low</v>
      </c>
    </row>
    <row r="663" spans="1:41" hidden="1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 t="str">
        <f t="shared" si="30"/>
        <v>Active</v>
      </c>
      <c r="AK663">
        <f t="shared" ca="1" si="31"/>
        <v>2021</v>
      </c>
      <c r="AL663">
        <f t="shared" si="32"/>
        <v>0</v>
      </c>
      <c r="AM663" t="e" cm="1">
        <f t="array" aca="1" ref="AM663" ca="1">IF(B663="Yes",YEAR(TODAY()),BLANK())</f>
        <v>#NAME?</v>
      </c>
      <c r="AN663" t="str" cm="1">
        <f t="array" ref="AN663" xml:space="preserve"> _xlfn.IFS(A663&lt;25,"&lt;25",
A663&lt;=35,"25-35",
A663&lt;=45,"36-45",
TRUE,"45+"
)</f>
        <v>36-45</v>
      </c>
      <c r="AO663" t="str" cm="1">
        <f t="array" ref="AO663">_xlfn.IFS(S663&lt;5000,"Low",
S663&lt;=15000,"Medium",
TRUE,"High")</f>
        <v>Low</v>
      </c>
    </row>
    <row r="664" spans="1:41" hidden="1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 t="str">
        <f t="shared" si="30"/>
        <v>Resigned</v>
      </c>
      <c r="AK664">
        <f t="shared" ca="1" si="31"/>
        <v>2023</v>
      </c>
      <c r="AL664">
        <f t="shared" si="32"/>
        <v>1</v>
      </c>
      <c r="AM664" cm="1">
        <f t="array" aca="1" ref="AM664" ca="1">IF(B664="Yes",YEAR(TODAY()),BLANK())</f>
        <v>2025</v>
      </c>
      <c r="AN664" t="str" cm="1">
        <f t="array" ref="AN664" xml:space="preserve"> _xlfn.IFS(A664&lt;25,"&lt;25",
A664&lt;=35,"25-35",
A664&lt;=45,"36-45",
TRUE,"45+"
)</f>
        <v>&lt;25</v>
      </c>
      <c r="AO664" t="str" cm="1">
        <f t="array" ref="AO664">_xlfn.IFS(S664&lt;5000,"Low",
S664&lt;=15000,"Medium",
TRUE,"High")</f>
        <v>Low</v>
      </c>
    </row>
    <row r="665" spans="1:41" hidden="1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 t="str">
        <f t="shared" si="30"/>
        <v>Resigned</v>
      </c>
      <c r="AK665">
        <f t="shared" ca="1" si="31"/>
        <v>2024</v>
      </c>
      <c r="AL665">
        <f t="shared" si="32"/>
        <v>1</v>
      </c>
      <c r="AM665" cm="1">
        <f t="array" aca="1" ref="AM665" ca="1">IF(B665="Yes",YEAR(TODAY()),BLANK())</f>
        <v>2025</v>
      </c>
      <c r="AN665" t="str" cm="1">
        <f t="array" ref="AN665" xml:space="preserve"> _xlfn.IFS(A665&lt;25,"&lt;25",
A665&lt;=35,"25-35",
A665&lt;=45,"36-45",
TRUE,"45+"
)</f>
        <v>&lt;25</v>
      </c>
      <c r="AO665" t="str" cm="1">
        <f t="array" ref="AO665">_xlfn.IFS(S665&lt;5000,"Low",
S665&lt;=15000,"Medium",
TRUE,"High")</f>
        <v>Low</v>
      </c>
    </row>
    <row r="666" spans="1:41" hidden="1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 t="str">
        <f t="shared" si="30"/>
        <v>Active</v>
      </c>
      <c r="AK666">
        <f t="shared" ca="1" si="31"/>
        <v>2008</v>
      </c>
      <c r="AL666">
        <f t="shared" si="32"/>
        <v>0</v>
      </c>
      <c r="AM666" t="e" cm="1">
        <f t="array" aca="1" ref="AM666" ca="1">IF(B666="Yes",YEAR(TODAY()),BLANK())</f>
        <v>#NAME?</v>
      </c>
      <c r="AN666" t="str" cm="1">
        <f t="array" ref="AN666" xml:space="preserve"> _xlfn.IFS(A666&lt;25,"&lt;25",
A666&lt;=35,"25-35",
A666&lt;=45,"36-45",
TRUE,"45+"
)</f>
        <v>36-45</v>
      </c>
      <c r="AO666" t="str" cm="1">
        <f t="array" ref="AO666">_xlfn.IFS(S666&lt;5000,"Low",
S666&lt;=15000,"Medium",
TRUE,"High")</f>
        <v>Medium</v>
      </c>
    </row>
    <row r="667" spans="1:41" hidden="1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 t="str">
        <f t="shared" si="30"/>
        <v>Active</v>
      </c>
      <c r="AK667">
        <f t="shared" ca="1" si="31"/>
        <v>2022</v>
      </c>
      <c r="AL667">
        <f t="shared" si="32"/>
        <v>0</v>
      </c>
      <c r="AM667" t="e" cm="1">
        <f t="array" aca="1" ref="AM667" ca="1">IF(B667="Yes",YEAR(TODAY()),BLANK())</f>
        <v>#NAME?</v>
      </c>
      <c r="AN667" t="str" cm="1">
        <f t="array" ref="AN667" xml:space="preserve"> _xlfn.IFS(A667&lt;25,"&lt;25",
A667&lt;=35,"25-35",
A667&lt;=45,"36-45",
TRUE,"45+"
)</f>
        <v>45+</v>
      </c>
      <c r="AO667" t="str" cm="1">
        <f t="array" ref="AO667">_xlfn.IFS(S667&lt;5000,"Low",
S667&lt;=15000,"Medium",
TRUE,"High")</f>
        <v>Low</v>
      </c>
    </row>
    <row r="668" spans="1:41" hidden="1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 t="str">
        <f t="shared" si="30"/>
        <v>Resigned</v>
      </c>
      <c r="AK668">
        <f t="shared" ca="1" si="31"/>
        <v>2021</v>
      </c>
      <c r="AL668">
        <f t="shared" si="32"/>
        <v>1</v>
      </c>
      <c r="AM668" cm="1">
        <f t="array" aca="1" ref="AM668" ca="1">IF(B668="Yes",YEAR(TODAY()),BLANK())</f>
        <v>2025</v>
      </c>
      <c r="AN668" t="str" cm="1">
        <f t="array" ref="AN668" xml:space="preserve"> _xlfn.IFS(A668&lt;25,"&lt;25",
A668&lt;=35,"25-35",
A668&lt;=45,"36-45",
TRUE,"45+"
)</f>
        <v>&lt;25</v>
      </c>
      <c r="AO668" t="str" cm="1">
        <f t="array" ref="AO668">_xlfn.IFS(S668&lt;5000,"Low",
S668&lt;=15000,"Medium",
TRUE,"High")</f>
        <v>Low</v>
      </c>
    </row>
    <row r="669" spans="1:41" hidden="1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 t="str">
        <f t="shared" si="30"/>
        <v>Resigned</v>
      </c>
      <c r="AK669">
        <f t="shared" ca="1" si="31"/>
        <v>2015</v>
      </c>
      <c r="AL669">
        <f t="shared" si="32"/>
        <v>1</v>
      </c>
      <c r="AM669" cm="1">
        <f t="array" aca="1" ref="AM669" ca="1">IF(B669="Yes",YEAR(TODAY()),BLANK())</f>
        <v>2025</v>
      </c>
      <c r="AN669" t="str" cm="1">
        <f t="array" ref="AN669" xml:space="preserve"> _xlfn.IFS(A669&lt;25,"&lt;25",
A669&lt;=35,"25-35",
A669&lt;=45,"36-45",
TRUE,"45+"
)</f>
        <v>36-45</v>
      </c>
      <c r="AO669" t="str" cm="1">
        <f t="array" ref="AO669">_xlfn.IFS(S669&lt;5000,"Low",
S669&lt;=15000,"Medium",
TRUE,"High")</f>
        <v>Low</v>
      </c>
    </row>
    <row r="670" spans="1:41" hidden="1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 t="str">
        <f t="shared" si="30"/>
        <v>Active</v>
      </c>
      <c r="AK670">
        <f t="shared" ca="1" si="31"/>
        <v>2019</v>
      </c>
      <c r="AL670">
        <f t="shared" si="32"/>
        <v>0</v>
      </c>
      <c r="AM670" t="e" cm="1">
        <f t="array" aca="1" ref="AM670" ca="1">IF(B670="Yes",YEAR(TODAY()),BLANK())</f>
        <v>#NAME?</v>
      </c>
      <c r="AN670" t="str" cm="1">
        <f t="array" ref="AN670" xml:space="preserve"> _xlfn.IFS(A670&lt;25,"&lt;25",
A670&lt;=35,"25-35",
A670&lt;=45,"36-45",
TRUE,"45+"
)</f>
        <v>25-35</v>
      </c>
      <c r="AO670" t="str" cm="1">
        <f t="array" ref="AO670">_xlfn.IFS(S670&lt;5000,"Low",
S670&lt;=15000,"Medium",
TRUE,"High")</f>
        <v>Low</v>
      </c>
    </row>
    <row r="671" spans="1:41" hidden="1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 t="str">
        <f t="shared" si="30"/>
        <v>Resigned</v>
      </c>
      <c r="AK671">
        <f t="shared" ca="1" si="31"/>
        <v>2017</v>
      </c>
      <c r="AL671">
        <f t="shared" si="32"/>
        <v>1</v>
      </c>
      <c r="AM671" cm="1">
        <f t="array" aca="1" ref="AM671" ca="1">IF(B671="Yes",YEAR(TODAY()),BLANK())</f>
        <v>2025</v>
      </c>
      <c r="AN671" t="str" cm="1">
        <f t="array" ref="AN671" xml:space="preserve"> _xlfn.IFS(A671&lt;25,"&lt;25",
A671&lt;=35,"25-35",
A671&lt;=45,"36-45",
TRUE,"45+"
)</f>
        <v>36-45</v>
      </c>
      <c r="AO671" t="str" cm="1">
        <f t="array" ref="AO671">_xlfn.IFS(S671&lt;5000,"Low",
S671&lt;=15000,"Medium",
TRUE,"High")</f>
        <v>Low</v>
      </c>
    </row>
    <row r="672" spans="1:41" hidden="1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 t="str">
        <f t="shared" si="30"/>
        <v>Active</v>
      </c>
      <c r="AK672">
        <f t="shared" ca="1" si="31"/>
        <v>2024</v>
      </c>
      <c r="AL672">
        <f t="shared" si="32"/>
        <v>0</v>
      </c>
      <c r="AM672" t="e" cm="1">
        <f t="array" aca="1" ref="AM672" ca="1">IF(B672="Yes",YEAR(TODAY()),BLANK())</f>
        <v>#NAME?</v>
      </c>
      <c r="AN672" t="str" cm="1">
        <f t="array" ref="AN672" xml:space="preserve"> _xlfn.IFS(A672&lt;25,"&lt;25",
A672&lt;=35,"25-35",
A672&lt;=45,"36-45",
TRUE,"45+"
)</f>
        <v>25-35</v>
      </c>
      <c r="AO672" t="str" cm="1">
        <f t="array" ref="AO672">_xlfn.IFS(S672&lt;5000,"Low",
S672&lt;=15000,"Medium",
TRUE,"High")</f>
        <v>Low</v>
      </c>
    </row>
    <row r="673" spans="1:41" hidden="1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 t="str">
        <f t="shared" si="30"/>
        <v>Active</v>
      </c>
      <c r="AK673">
        <f t="shared" ca="1" si="31"/>
        <v>2024</v>
      </c>
      <c r="AL673">
        <f t="shared" si="32"/>
        <v>0</v>
      </c>
      <c r="AM673" t="e" cm="1">
        <f t="array" aca="1" ref="AM673" ca="1">IF(B673="Yes",YEAR(TODAY()),BLANK())</f>
        <v>#NAME?</v>
      </c>
      <c r="AN673" t="str" cm="1">
        <f t="array" ref="AN673" xml:space="preserve"> _xlfn.IFS(A673&lt;25,"&lt;25",
A673&lt;=35,"25-35",
A673&lt;=45,"36-45",
TRUE,"45+"
)</f>
        <v>25-35</v>
      </c>
      <c r="AO673" t="str" cm="1">
        <f t="array" ref="AO673">_xlfn.IFS(S673&lt;5000,"Low",
S673&lt;=15000,"Medium",
TRUE,"High")</f>
        <v>Low</v>
      </c>
    </row>
    <row r="674" spans="1:41" hidden="1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 t="str">
        <f t="shared" si="30"/>
        <v>Active</v>
      </c>
      <c r="AK674">
        <f t="shared" ca="1" si="31"/>
        <v>2015</v>
      </c>
      <c r="AL674">
        <f t="shared" si="32"/>
        <v>0</v>
      </c>
      <c r="AM674" t="e" cm="1">
        <f t="array" aca="1" ref="AM674" ca="1">IF(B674="Yes",YEAR(TODAY()),BLANK())</f>
        <v>#NAME?</v>
      </c>
      <c r="AN674" t="str" cm="1">
        <f t="array" ref="AN674" xml:space="preserve"> _xlfn.IFS(A674&lt;25,"&lt;25",
A674&lt;=35,"25-35",
A674&lt;=45,"36-45",
TRUE,"45+"
)</f>
        <v>36-45</v>
      </c>
      <c r="AO674" t="str" cm="1">
        <f t="array" ref="AO674">_xlfn.IFS(S674&lt;5000,"Low",
S674&lt;=15000,"Medium",
TRUE,"High")</f>
        <v>Medium</v>
      </c>
    </row>
    <row r="675" spans="1:41" hidden="1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 t="str">
        <f t="shared" si="30"/>
        <v>Active</v>
      </c>
      <c r="AK675">
        <f t="shared" ca="1" si="31"/>
        <v>2019</v>
      </c>
      <c r="AL675">
        <f t="shared" si="32"/>
        <v>0</v>
      </c>
      <c r="AM675" t="e" cm="1">
        <f t="array" aca="1" ref="AM675" ca="1">IF(B675="Yes",YEAR(TODAY()),BLANK())</f>
        <v>#NAME?</v>
      </c>
      <c r="AN675" t="str" cm="1">
        <f t="array" ref="AN675" xml:space="preserve"> _xlfn.IFS(A675&lt;25,"&lt;25",
A675&lt;=35,"25-35",
A675&lt;=45,"36-45",
TRUE,"45+"
)</f>
        <v>25-35</v>
      </c>
      <c r="AO675" t="str" cm="1">
        <f t="array" ref="AO675">_xlfn.IFS(S675&lt;5000,"Low",
S675&lt;=15000,"Medium",
TRUE,"High")</f>
        <v>Low</v>
      </c>
    </row>
    <row r="676" spans="1:41" hidden="1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 t="str">
        <f t="shared" si="30"/>
        <v>Active</v>
      </c>
      <c r="AK676">
        <f t="shared" ca="1" si="31"/>
        <v>2001</v>
      </c>
      <c r="AL676">
        <f t="shared" si="32"/>
        <v>0</v>
      </c>
      <c r="AM676" t="e" cm="1">
        <f t="array" aca="1" ref="AM676" ca="1">IF(B676="Yes",YEAR(TODAY()),BLANK())</f>
        <v>#NAME?</v>
      </c>
      <c r="AN676" t="str" cm="1">
        <f t="array" ref="AN676" xml:space="preserve"> _xlfn.IFS(A676&lt;25,"&lt;25",
A676&lt;=35,"25-35",
A676&lt;=45,"36-45",
TRUE,"45+"
)</f>
        <v>45+</v>
      </c>
      <c r="AO676" t="str" cm="1">
        <f t="array" ref="AO676">_xlfn.IFS(S676&lt;5000,"Low",
S676&lt;=15000,"Medium",
TRUE,"High")</f>
        <v>Medium</v>
      </c>
    </row>
    <row r="677" spans="1:41" hidden="1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 t="str">
        <f t="shared" si="30"/>
        <v>Active</v>
      </c>
      <c r="AK677">
        <f t="shared" ca="1" si="31"/>
        <v>2012</v>
      </c>
      <c r="AL677">
        <f t="shared" si="32"/>
        <v>0</v>
      </c>
      <c r="AM677" t="e" cm="1">
        <f t="array" aca="1" ref="AM677" ca="1">IF(B677="Yes",YEAR(TODAY()),BLANK())</f>
        <v>#NAME?</v>
      </c>
      <c r="AN677" t="str" cm="1">
        <f t="array" ref="AN677" xml:space="preserve"> _xlfn.IFS(A677&lt;25,"&lt;25",
A677&lt;=35,"25-35",
A677&lt;=45,"36-45",
TRUE,"45+"
)</f>
        <v>25-35</v>
      </c>
      <c r="AO677" t="str" cm="1">
        <f t="array" ref="AO677">_xlfn.IFS(S677&lt;5000,"Low",
S677&lt;=15000,"Medium",
TRUE,"High")</f>
        <v>Low</v>
      </c>
    </row>
    <row r="678" spans="1:41" hidden="1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 t="str">
        <f t="shared" si="30"/>
        <v>Active</v>
      </c>
      <c r="AK678">
        <f t="shared" ca="1" si="31"/>
        <v>2015</v>
      </c>
      <c r="AL678">
        <f t="shared" si="32"/>
        <v>0</v>
      </c>
      <c r="AM678" t="e" cm="1">
        <f t="array" aca="1" ref="AM678" ca="1">IF(B678="Yes",YEAR(TODAY()),BLANK())</f>
        <v>#NAME?</v>
      </c>
      <c r="AN678" t="str" cm="1">
        <f t="array" ref="AN678" xml:space="preserve"> _xlfn.IFS(A678&lt;25,"&lt;25",
A678&lt;=35,"25-35",
A678&lt;=45,"36-45",
TRUE,"45+"
)</f>
        <v>25-35</v>
      </c>
      <c r="AO678" t="str" cm="1">
        <f t="array" ref="AO678">_xlfn.IFS(S678&lt;5000,"Low",
S678&lt;=15000,"Medium",
TRUE,"High")</f>
        <v>Low</v>
      </c>
    </row>
    <row r="679" spans="1:41" hidden="1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 t="str">
        <f t="shared" si="30"/>
        <v>Active</v>
      </c>
      <c r="AK679">
        <f t="shared" ca="1" si="31"/>
        <v>1996</v>
      </c>
      <c r="AL679">
        <f t="shared" si="32"/>
        <v>0</v>
      </c>
      <c r="AM679" t="e" cm="1">
        <f t="array" aca="1" ref="AM679" ca="1">IF(B679="Yes",YEAR(TODAY()),BLANK())</f>
        <v>#NAME?</v>
      </c>
      <c r="AN679" t="str" cm="1">
        <f t="array" ref="AN679" xml:space="preserve"> _xlfn.IFS(A679&lt;25,"&lt;25",
A679&lt;=35,"25-35",
A679&lt;=45,"36-45",
TRUE,"45+"
)</f>
        <v>45+</v>
      </c>
      <c r="AO679" t="str" cm="1">
        <f t="array" ref="AO679">_xlfn.IFS(S679&lt;5000,"Low",
S679&lt;=15000,"Medium",
TRUE,"High")</f>
        <v>Medium</v>
      </c>
    </row>
    <row r="680" spans="1:41" hidden="1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 t="str">
        <f t="shared" si="30"/>
        <v>Active</v>
      </c>
      <c r="AK680">
        <f t="shared" ca="1" si="31"/>
        <v>2012</v>
      </c>
      <c r="AL680">
        <f t="shared" si="32"/>
        <v>0</v>
      </c>
      <c r="AM680" t="e" cm="1">
        <f t="array" aca="1" ref="AM680" ca="1">IF(B680="Yes",YEAR(TODAY()),BLANK())</f>
        <v>#NAME?</v>
      </c>
      <c r="AN680" t="str" cm="1">
        <f t="array" ref="AN680" xml:space="preserve"> _xlfn.IFS(A680&lt;25,"&lt;25",
A680&lt;=35,"25-35",
A680&lt;=45,"36-45",
TRUE,"45+"
)</f>
        <v>45+</v>
      </c>
      <c r="AO680" t="str" cm="1">
        <f t="array" ref="AO680">_xlfn.IFS(S680&lt;5000,"Low",
S680&lt;=15000,"Medium",
TRUE,"High")</f>
        <v>Low</v>
      </c>
    </row>
    <row r="681" spans="1:41" hidden="1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 t="str">
        <f t="shared" si="30"/>
        <v>Active</v>
      </c>
      <c r="AK681">
        <f t="shared" ca="1" si="31"/>
        <v>2016</v>
      </c>
      <c r="AL681">
        <f t="shared" si="32"/>
        <v>0</v>
      </c>
      <c r="AM681" t="e" cm="1">
        <f t="array" aca="1" ref="AM681" ca="1">IF(B681="Yes",YEAR(TODAY()),BLANK())</f>
        <v>#NAME?</v>
      </c>
      <c r="AN681" t="str" cm="1">
        <f t="array" ref="AN681" xml:space="preserve"> _xlfn.IFS(A681&lt;25,"&lt;25",
A681&lt;=35,"25-35",
A681&lt;=45,"36-45",
TRUE,"45+"
)</f>
        <v>25-35</v>
      </c>
      <c r="AO681" t="str" cm="1">
        <f t="array" ref="AO681">_xlfn.IFS(S681&lt;5000,"Low",
S681&lt;=15000,"Medium",
TRUE,"High")</f>
        <v>Medium</v>
      </c>
    </row>
    <row r="682" spans="1:41" hidden="1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 t="str">
        <f t="shared" si="30"/>
        <v>Active</v>
      </c>
      <c r="AK682">
        <f t="shared" ca="1" si="31"/>
        <v>2017</v>
      </c>
      <c r="AL682">
        <f t="shared" si="32"/>
        <v>0</v>
      </c>
      <c r="AM682" t="e" cm="1">
        <f t="array" aca="1" ref="AM682" ca="1">IF(B682="Yes",YEAR(TODAY()),BLANK())</f>
        <v>#NAME?</v>
      </c>
      <c r="AN682" t="str" cm="1">
        <f t="array" ref="AN682" xml:space="preserve"> _xlfn.IFS(A682&lt;25,"&lt;25",
A682&lt;=35,"25-35",
A682&lt;=45,"36-45",
TRUE,"45+"
)</f>
        <v>36-45</v>
      </c>
      <c r="AO682" t="str" cm="1">
        <f t="array" ref="AO682">_xlfn.IFS(S682&lt;5000,"Low",
S682&lt;=15000,"Medium",
TRUE,"High")</f>
        <v>Low</v>
      </c>
    </row>
    <row r="683" spans="1:41" hidden="1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 t="str">
        <f t="shared" si="30"/>
        <v>Active</v>
      </c>
      <c r="AK683">
        <f t="shared" ca="1" si="31"/>
        <v>2010</v>
      </c>
      <c r="AL683">
        <f t="shared" si="32"/>
        <v>0</v>
      </c>
      <c r="AM683" t="e" cm="1">
        <f t="array" aca="1" ref="AM683" ca="1">IF(B683="Yes",YEAR(TODAY()),BLANK())</f>
        <v>#NAME?</v>
      </c>
      <c r="AN683" t="str" cm="1">
        <f t="array" ref="AN683" xml:space="preserve"> _xlfn.IFS(A683&lt;25,"&lt;25",
A683&lt;=35,"25-35",
A683&lt;=45,"36-45",
TRUE,"45+"
)</f>
        <v>36-45</v>
      </c>
      <c r="AO683" t="str" cm="1">
        <f t="array" ref="AO683">_xlfn.IFS(S683&lt;5000,"Low",
S683&lt;=15000,"Medium",
TRUE,"High")</f>
        <v>Medium</v>
      </c>
    </row>
    <row r="684" spans="1:41" hidden="1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 t="str">
        <f t="shared" si="30"/>
        <v>Active</v>
      </c>
      <c r="AK684">
        <f t="shared" ca="1" si="31"/>
        <v>2020</v>
      </c>
      <c r="AL684">
        <f t="shared" si="32"/>
        <v>0</v>
      </c>
      <c r="AM684" t="e" cm="1">
        <f t="array" aca="1" ref="AM684" ca="1">IF(B684="Yes",YEAR(TODAY()),BLANK())</f>
        <v>#NAME?</v>
      </c>
      <c r="AN684" t="str" cm="1">
        <f t="array" ref="AN684" xml:space="preserve"> _xlfn.IFS(A684&lt;25,"&lt;25",
A684&lt;=35,"25-35",
A684&lt;=45,"36-45",
TRUE,"45+"
)</f>
        <v>25-35</v>
      </c>
      <c r="AO684" t="str" cm="1">
        <f t="array" ref="AO684">_xlfn.IFS(S684&lt;5000,"Low",
S684&lt;=15000,"Medium",
TRUE,"High")</f>
        <v>Low</v>
      </c>
    </row>
    <row r="685" spans="1:41" hidden="1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 t="str">
        <f t="shared" si="30"/>
        <v>Resigned</v>
      </c>
      <c r="AK685">
        <f t="shared" ca="1" si="31"/>
        <v>2024</v>
      </c>
      <c r="AL685">
        <f t="shared" si="32"/>
        <v>1</v>
      </c>
      <c r="AM685" cm="1">
        <f t="array" aca="1" ref="AM685" ca="1">IF(B685="Yes",YEAR(TODAY()),BLANK())</f>
        <v>2025</v>
      </c>
      <c r="AN685" t="str" cm="1">
        <f t="array" ref="AN685" xml:space="preserve"> _xlfn.IFS(A685&lt;25,"&lt;25",
A685&lt;=35,"25-35",
A685&lt;=45,"36-45",
TRUE,"45+"
)</f>
        <v>25-35</v>
      </c>
      <c r="AO685" t="str" cm="1">
        <f t="array" ref="AO685">_xlfn.IFS(S685&lt;5000,"Low",
S685&lt;=15000,"Medium",
TRUE,"High")</f>
        <v>Low</v>
      </c>
    </row>
    <row r="686" spans="1:41" hidden="1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 t="str">
        <f t="shared" si="30"/>
        <v>Active</v>
      </c>
      <c r="AK686">
        <f t="shared" ca="1" si="31"/>
        <v>2014</v>
      </c>
      <c r="AL686">
        <f t="shared" si="32"/>
        <v>0</v>
      </c>
      <c r="AM686" t="e" cm="1">
        <f t="array" aca="1" ref="AM686" ca="1">IF(B686="Yes",YEAR(TODAY()),BLANK())</f>
        <v>#NAME?</v>
      </c>
      <c r="AN686" t="str" cm="1">
        <f t="array" ref="AN686" xml:space="preserve"> _xlfn.IFS(A686&lt;25,"&lt;25",
A686&lt;=35,"25-35",
A686&lt;=45,"36-45",
TRUE,"45+"
)</f>
        <v>36-45</v>
      </c>
      <c r="AO686" t="str" cm="1">
        <f t="array" ref="AO686">_xlfn.IFS(S686&lt;5000,"Low",
S686&lt;=15000,"Medium",
TRUE,"High")</f>
        <v>Medium</v>
      </c>
    </row>
    <row r="687" spans="1:41" hidden="1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 t="str">
        <f t="shared" si="30"/>
        <v>Active</v>
      </c>
      <c r="AK687">
        <f t="shared" ca="1" si="31"/>
        <v>2018</v>
      </c>
      <c r="AL687">
        <f t="shared" si="32"/>
        <v>0</v>
      </c>
      <c r="AM687" t="e" cm="1">
        <f t="array" aca="1" ref="AM687" ca="1">IF(B687="Yes",YEAR(TODAY()),BLANK())</f>
        <v>#NAME?</v>
      </c>
      <c r="AN687" t="str" cm="1">
        <f t="array" ref="AN687" xml:space="preserve"> _xlfn.IFS(A687&lt;25,"&lt;25",
A687&lt;=35,"25-35",
A687&lt;=45,"36-45",
TRUE,"45+"
)</f>
        <v>25-35</v>
      </c>
      <c r="AO687" t="str" cm="1">
        <f t="array" ref="AO687">_xlfn.IFS(S687&lt;5000,"Low",
S687&lt;=15000,"Medium",
TRUE,"High")</f>
        <v>Low</v>
      </c>
    </row>
    <row r="688" spans="1:41" hidden="1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 t="str">
        <f t="shared" si="30"/>
        <v>Active</v>
      </c>
      <c r="AK688">
        <f t="shared" ca="1" si="31"/>
        <v>2005</v>
      </c>
      <c r="AL688">
        <f t="shared" si="32"/>
        <v>0</v>
      </c>
      <c r="AM688" t="e" cm="1">
        <f t="array" aca="1" ref="AM688" ca="1">IF(B688="Yes",YEAR(TODAY()),BLANK())</f>
        <v>#NAME?</v>
      </c>
      <c r="AN688" t="str" cm="1">
        <f t="array" ref="AN688" xml:space="preserve"> _xlfn.IFS(A688&lt;25,"&lt;25",
A688&lt;=35,"25-35",
A688&lt;=45,"36-45",
TRUE,"45+"
)</f>
        <v>36-45</v>
      </c>
      <c r="AO688" t="str" cm="1">
        <f t="array" ref="AO688">_xlfn.IFS(S688&lt;5000,"Low",
S688&lt;=15000,"Medium",
TRUE,"High")</f>
        <v>Low</v>
      </c>
    </row>
    <row r="689" spans="1:41" hidden="1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 t="str">
        <f t="shared" si="30"/>
        <v>Active</v>
      </c>
      <c r="AK689">
        <f t="shared" ca="1" si="31"/>
        <v>2009</v>
      </c>
      <c r="AL689">
        <f t="shared" si="32"/>
        <v>0</v>
      </c>
      <c r="AM689" t="e" cm="1">
        <f t="array" aca="1" ref="AM689" ca="1">IF(B689="Yes",YEAR(TODAY()),BLANK())</f>
        <v>#NAME?</v>
      </c>
      <c r="AN689" t="str" cm="1">
        <f t="array" ref="AN689" xml:space="preserve"> _xlfn.IFS(A689&lt;25,"&lt;25",
A689&lt;=35,"25-35",
A689&lt;=45,"36-45",
TRUE,"45+"
)</f>
        <v>36-45</v>
      </c>
      <c r="AO689" t="str" cm="1">
        <f t="array" ref="AO689">_xlfn.IFS(S689&lt;5000,"Low",
S689&lt;=15000,"Medium",
TRUE,"High")</f>
        <v>Low</v>
      </c>
    </row>
    <row r="690" spans="1:41" hidden="1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 t="str">
        <f t="shared" si="30"/>
        <v>Resigned</v>
      </c>
      <c r="AK690">
        <f t="shared" ca="1" si="31"/>
        <v>2024</v>
      </c>
      <c r="AL690">
        <f t="shared" si="32"/>
        <v>1</v>
      </c>
      <c r="AM690" cm="1">
        <f t="array" aca="1" ref="AM690" ca="1">IF(B690="Yes",YEAR(TODAY()),BLANK())</f>
        <v>2025</v>
      </c>
      <c r="AN690" t="str" cm="1">
        <f t="array" ref="AN690" xml:space="preserve"> _xlfn.IFS(A690&lt;25,"&lt;25",
A690&lt;=35,"25-35",
A690&lt;=45,"36-45",
TRUE,"45+"
)</f>
        <v>&lt;25</v>
      </c>
      <c r="AO690" t="str" cm="1">
        <f t="array" ref="AO690">_xlfn.IFS(S690&lt;5000,"Low",
S690&lt;=15000,"Medium",
TRUE,"High")</f>
        <v>Low</v>
      </c>
    </row>
    <row r="691" spans="1:41" hidden="1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 t="str">
        <f t="shared" si="30"/>
        <v>Resigned</v>
      </c>
      <c r="AK691">
        <f t="shared" ca="1" si="31"/>
        <v>2024</v>
      </c>
      <c r="AL691">
        <f t="shared" si="32"/>
        <v>1</v>
      </c>
      <c r="AM691" cm="1">
        <f t="array" aca="1" ref="AM691" ca="1">IF(B691="Yes",YEAR(TODAY()),BLANK())</f>
        <v>2025</v>
      </c>
      <c r="AN691" t="str" cm="1">
        <f t="array" ref="AN691" xml:space="preserve"> _xlfn.IFS(A691&lt;25,"&lt;25",
A691&lt;=35,"25-35",
A691&lt;=45,"36-45",
TRUE,"45+"
)</f>
        <v>&lt;25</v>
      </c>
      <c r="AO691" t="str" cm="1">
        <f t="array" ref="AO691">_xlfn.IFS(S691&lt;5000,"Low",
S691&lt;=15000,"Medium",
TRUE,"High")</f>
        <v>Low</v>
      </c>
    </row>
    <row r="692" spans="1:41" hidden="1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 t="str">
        <f t="shared" si="30"/>
        <v>Active</v>
      </c>
      <c r="AK692">
        <f t="shared" ca="1" si="31"/>
        <v>2015</v>
      </c>
      <c r="AL692">
        <f t="shared" si="32"/>
        <v>0</v>
      </c>
      <c r="AM692" t="e" cm="1">
        <f t="array" aca="1" ref="AM692" ca="1">IF(B692="Yes",YEAR(TODAY()),BLANK())</f>
        <v>#NAME?</v>
      </c>
      <c r="AN692" t="str" cm="1">
        <f t="array" ref="AN692" xml:space="preserve"> _xlfn.IFS(A692&lt;25,"&lt;25",
A692&lt;=35,"25-35",
A692&lt;=45,"36-45",
TRUE,"45+"
)</f>
        <v>25-35</v>
      </c>
      <c r="AO692" t="str" cm="1">
        <f t="array" ref="AO692">_xlfn.IFS(S692&lt;5000,"Low",
S692&lt;=15000,"Medium",
TRUE,"High")</f>
        <v>Medium</v>
      </c>
    </row>
    <row r="693" spans="1:41" hidden="1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 t="str">
        <f t="shared" si="30"/>
        <v>Active</v>
      </c>
      <c r="AK693">
        <f t="shared" ca="1" si="31"/>
        <v>2022</v>
      </c>
      <c r="AL693">
        <f t="shared" si="32"/>
        <v>0</v>
      </c>
      <c r="AM693" t="e" cm="1">
        <f t="array" aca="1" ref="AM693" ca="1">IF(B693="Yes",YEAR(TODAY()),BLANK())</f>
        <v>#NAME?</v>
      </c>
      <c r="AN693" t="str" cm="1">
        <f t="array" ref="AN693" xml:space="preserve"> _xlfn.IFS(A693&lt;25,"&lt;25",
A693&lt;=35,"25-35",
A693&lt;=45,"36-45",
TRUE,"45+"
)</f>
        <v>36-45</v>
      </c>
      <c r="AO693" t="str" cm="1">
        <f t="array" ref="AO693">_xlfn.IFS(S693&lt;5000,"Low",
S693&lt;=15000,"Medium",
TRUE,"High")</f>
        <v>Low</v>
      </c>
    </row>
    <row r="694" spans="1:41" hidden="1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 t="str">
        <f t="shared" si="30"/>
        <v>Active</v>
      </c>
      <c r="AK694">
        <f t="shared" ca="1" si="31"/>
        <v>2017</v>
      </c>
      <c r="AL694">
        <f t="shared" si="32"/>
        <v>0</v>
      </c>
      <c r="AM694" t="e" cm="1">
        <f t="array" aca="1" ref="AM694" ca="1">IF(B694="Yes",YEAR(TODAY()),BLANK())</f>
        <v>#NAME?</v>
      </c>
      <c r="AN694" t="str" cm="1">
        <f t="array" ref="AN694" xml:space="preserve"> _xlfn.IFS(A694&lt;25,"&lt;25",
A694&lt;=35,"25-35",
A694&lt;=45,"36-45",
TRUE,"45+"
)</f>
        <v>25-35</v>
      </c>
      <c r="AO694" t="str" cm="1">
        <f t="array" ref="AO694">_xlfn.IFS(S694&lt;5000,"Low",
S694&lt;=15000,"Medium",
TRUE,"High")</f>
        <v>Medium</v>
      </c>
    </row>
    <row r="695" spans="1:41" hidden="1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 t="str">
        <f t="shared" si="30"/>
        <v>Resigned</v>
      </c>
      <c r="AK695">
        <f t="shared" ca="1" si="31"/>
        <v>2009</v>
      </c>
      <c r="AL695">
        <f t="shared" si="32"/>
        <v>1</v>
      </c>
      <c r="AM695" cm="1">
        <f t="array" aca="1" ref="AM695" ca="1">IF(B695="Yes",YEAR(TODAY()),BLANK())</f>
        <v>2025</v>
      </c>
      <c r="AN695" t="str" cm="1">
        <f t="array" ref="AN695" xml:space="preserve"> _xlfn.IFS(A695&lt;25,"&lt;25",
A695&lt;=35,"25-35",
A695&lt;=45,"36-45",
TRUE,"45+"
)</f>
        <v>36-45</v>
      </c>
      <c r="AO695" t="str" cm="1">
        <f t="array" ref="AO695">_xlfn.IFS(S695&lt;5000,"Low",
S695&lt;=15000,"Medium",
TRUE,"High")</f>
        <v>Medium</v>
      </c>
    </row>
    <row r="696" spans="1:41" hidden="1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 t="str">
        <f t="shared" si="30"/>
        <v>Active</v>
      </c>
      <c r="AK696">
        <f t="shared" ca="1" si="31"/>
        <v>2019</v>
      </c>
      <c r="AL696">
        <f t="shared" si="32"/>
        <v>0</v>
      </c>
      <c r="AM696" t="e" cm="1">
        <f t="array" aca="1" ref="AM696" ca="1">IF(B696="Yes",YEAR(TODAY()),BLANK())</f>
        <v>#NAME?</v>
      </c>
      <c r="AN696" t="str" cm="1">
        <f t="array" ref="AN696" xml:space="preserve"> _xlfn.IFS(A696&lt;25,"&lt;25",
A696&lt;=35,"25-35",
A696&lt;=45,"36-45",
TRUE,"45+"
)</f>
        <v>25-35</v>
      </c>
      <c r="AO696" t="str" cm="1">
        <f t="array" ref="AO696">_xlfn.IFS(S696&lt;5000,"Low",
S696&lt;=15000,"Medium",
TRUE,"High")</f>
        <v>Medium</v>
      </c>
    </row>
    <row r="697" spans="1:41" hidden="1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 t="str">
        <f t="shared" si="30"/>
        <v>Resigned</v>
      </c>
      <c r="AK697">
        <f t="shared" ca="1" si="31"/>
        <v>2008</v>
      </c>
      <c r="AL697">
        <f t="shared" si="32"/>
        <v>1</v>
      </c>
      <c r="AM697" cm="1">
        <f t="array" aca="1" ref="AM697" ca="1">IF(B697="Yes",YEAR(TODAY()),BLANK())</f>
        <v>2025</v>
      </c>
      <c r="AN697" t="str" cm="1">
        <f t="array" ref="AN697" xml:space="preserve"> _xlfn.IFS(A697&lt;25,"&lt;25",
A697&lt;=35,"25-35",
A697&lt;=45,"36-45",
TRUE,"45+"
)</f>
        <v>36-45</v>
      </c>
      <c r="AO697" t="str" cm="1">
        <f t="array" ref="AO697">_xlfn.IFS(S697&lt;5000,"Low",
S697&lt;=15000,"Medium",
TRUE,"High")</f>
        <v>Medium</v>
      </c>
    </row>
    <row r="698" spans="1:41" hidden="1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 t="str">
        <f t="shared" si="30"/>
        <v>Active</v>
      </c>
      <c r="AK698">
        <f t="shared" ca="1" si="31"/>
        <v>2016</v>
      </c>
      <c r="AL698">
        <f t="shared" si="32"/>
        <v>0</v>
      </c>
      <c r="AM698" t="e" cm="1">
        <f t="array" aca="1" ref="AM698" ca="1">IF(B698="Yes",YEAR(TODAY()),BLANK())</f>
        <v>#NAME?</v>
      </c>
      <c r="AN698" t="str" cm="1">
        <f t="array" ref="AN698" xml:space="preserve"> _xlfn.IFS(A698&lt;25,"&lt;25",
A698&lt;=35,"25-35",
A698&lt;=45,"36-45",
TRUE,"45+"
)</f>
        <v>36-45</v>
      </c>
      <c r="AO698" t="str" cm="1">
        <f t="array" ref="AO698">_xlfn.IFS(S698&lt;5000,"Low",
S698&lt;=15000,"Medium",
TRUE,"High")</f>
        <v>Low</v>
      </c>
    </row>
    <row r="699" spans="1:41" hidden="1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 t="str">
        <f t="shared" si="30"/>
        <v>Active</v>
      </c>
      <c r="AK699">
        <f t="shared" ca="1" si="31"/>
        <v>2022</v>
      </c>
      <c r="AL699">
        <f t="shared" si="32"/>
        <v>0</v>
      </c>
      <c r="AM699" t="e" cm="1">
        <f t="array" aca="1" ref="AM699" ca="1">IF(B699="Yes",YEAR(TODAY()),BLANK())</f>
        <v>#NAME?</v>
      </c>
      <c r="AN699" t="str" cm="1">
        <f t="array" ref="AN699" xml:space="preserve"> _xlfn.IFS(A699&lt;25,"&lt;25",
A699&lt;=35,"25-35",
A699&lt;=45,"36-45",
TRUE,"45+"
)</f>
        <v>25-35</v>
      </c>
      <c r="AO699" t="str" cm="1">
        <f t="array" ref="AO699">_xlfn.IFS(S699&lt;5000,"Low",
S699&lt;=15000,"Medium",
TRUE,"High")</f>
        <v>Low</v>
      </c>
    </row>
    <row r="700" spans="1:41" hidden="1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 t="str">
        <f t="shared" si="30"/>
        <v>Active</v>
      </c>
      <c r="AK700">
        <f t="shared" ca="1" si="31"/>
        <v>2020</v>
      </c>
      <c r="AL700">
        <f t="shared" si="32"/>
        <v>0</v>
      </c>
      <c r="AM700" t="e" cm="1">
        <f t="array" aca="1" ref="AM700" ca="1">IF(B700="Yes",YEAR(TODAY()),BLANK())</f>
        <v>#NAME?</v>
      </c>
      <c r="AN700" t="str" cm="1">
        <f t="array" ref="AN700" xml:space="preserve"> _xlfn.IFS(A700&lt;25,"&lt;25",
A700&lt;=35,"25-35",
A700&lt;=45,"36-45",
TRUE,"45+"
)</f>
        <v>25-35</v>
      </c>
      <c r="AO700" t="str" cm="1">
        <f t="array" ref="AO700">_xlfn.IFS(S700&lt;5000,"Low",
S700&lt;=15000,"Medium",
TRUE,"High")</f>
        <v>Low</v>
      </c>
    </row>
    <row r="701" spans="1:41" hidden="1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 t="str">
        <f t="shared" si="30"/>
        <v>Active</v>
      </c>
      <c r="AK701">
        <f t="shared" ca="1" si="31"/>
        <v>1999</v>
      </c>
      <c r="AL701">
        <f t="shared" si="32"/>
        <v>0</v>
      </c>
      <c r="AM701" t="e" cm="1">
        <f t="array" aca="1" ref="AM701" ca="1">IF(B701="Yes",YEAR(TODAY()),BLANK())</f>
        <v>#NAME?</v>
      </c>
      <c r="AN701" t="str" cm="1">
        <f t="array" ref="AN701" xml:space="preserve"> _xlfn.IFS(A701&lt;25,"&lt;25",
A701&lt;=35,"25-35",
A701&lt;=45,"36-45",
TRUE,"45+"
)</f>
        <v>45+</v>
      </c>
      <c r="AO701" t="str" cm="1">
        <f t="array" ref="AO701">_xlfn.IFS(S701&lt;5000,"Low",
S701&lt;=15000,"Medium",
TRUE,"High")</f>
        <v>High</v>
      </c>
    </row>
    <row r="702" spans="1:41" hidden="1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 t="str">
        <f t="shared" si="30"/>
        <v>Resigned</v>
      </c>
      <c r="AK702">
        <f t="shared" ca="1" si="31"/>
        <v>2018</v>
      </c>
      <c r="AL702">
        <f t="shared" si="32"/>
        <v>1</v>
      </c>
      <c r="AM702" cm="1">
        <f t="array" aca="1" ref="AM702" ca="1">IF(B702="Yes",YEAR(TODAY()),BLANK())</f>
        <v>2025</v>
      </c>
      <c r="AN702" t="str" cm="1">
        <f t="array" ref="AN702" xml:space="preserve"> _xlfn.IFS(A702&lt;25,"&lt;25",
A702&lt;=35,"25-35",
A702&lt;=45,"36-45",
TRUE,"45+"
)</f>
        <v>45+</v>
      </c>
      <c r="AO702" t="str" cm="1">
        <f t="array" ref="AO702">_xlfn.IFS(S702&lt;5000,"Low",
S702&lt;=15000,"Medium",
TRUE,"High")</f>
        <v>Low</v>
      </c>
    </row>
    <row r="703" spans="1:41" hidden="1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 t="str">
        <f t="shared" si="30"/>
        <v>Active</v>
      </c>
      <c r="AK703">
        <f t="shared" ca="1" si="31"/>
        <v>2003</v>
      </c>
      <c r="AL703">
        <f t="shared" si="32"/>
        <v>0</v>
      </c>
      <c r="AM703" t="e" cm="1">
        <f t="array" aca="1" ref="AM703" ca="1">IF(B703="Yes",YEAR(TODAY()),BLANK())</f>
        <v>#NAME?</v>
      </c>
      <c r="AN703" t="str" cm="1">
        <f t="array" ref="AN703" xml:space="preserve"> _xlfn.IFS(A703&lt;25,"&lt;25",
A703&lt;=35,"25-35",
A703&lt;=45,"36-45",
TRUE,"45+"
)</f>
        <v>45+</v>
      </c>
      <c r="AO703" t="str" cm="1">
        <f t="array" ref="AO703">_xlfn.IFS(S703&lt;5000,"Low",
S703&lt;=15000,"Medium",
TRUE,"High")</f>
        <v>Medium</v>
      </c>
    </row>
    <row r="704" spans="1:41" hidden="1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 t="str">
        <f t="shared" si="30"/>
        <v>Active</v>
      </c>
      <c r="AK704">
        <f t="shared" ca="1" si="31"/>
        <v>2015</v>
      </c>
      <c r="AL704">
        <f t="shared" si="32"/>
        <v>0</v>
      </c>
      <c r="AM704" t="e" cm="1">
        <f t="array" aca="1" ref="AM704" ca="1">IF(B704="Yes",YEAR(TODAY()),BLANK())</f>
        <v>#NAME?</v>
      </c>
      <c r="AN704" t="str" cm="1">
        <f t="array" ref="AN704" xml:space="preserve"> _xlfn.IFS(A704&lt;25,"&lt;25",
A704&lt;=35,"25-35",
A704&lt;=45,"36-45",
TRUE,"45+"
)</f>
        <v>25-35</v>
      </c>
      <c r="AO704" t="str" cm="1">
        <f t="array" ref="AO704">_xlfn.IFS(S704&lt;5000,"Low",
S704&lt;=15000,"Medium",
TRUE,"High")</f>
        <v>Medium</v>
      </c>
    </row>
    <row r="705" spans="1:41" hidden="1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 t="str">
        <f t="shared" si="30"/>
        <v>Active</v>
      </c>
      <c r="AK705">
        <f t="shared" ca="1" si="31"/>
        <v>2019</v>
      </c>
      <c r="AL705">
        <f t="shared" si="32"/>
        <v>0</v>
      </c>
      <c r="AM705" t="e" cm="1">
        <f t="array" aca="1" ref="AM705" ca="1">IF(B705="Yes",YEAR(TODAY()),BLANK())</f>
        <v>#NAME?</v>
      </c>
      <c r="AN705" t="str" cm="1">
        <f t="array" ref="AN705" xml:space="preserve"> _xlfn.IFS(A705&lt;25,"&lt;25",
A705&lt;=35,"25-35",
A705&lt;=45,"36-45",
TRUE,"45+"
)</f>
        <v>36-45</v>
      </c>
      <c r="AO705" t="str" cm="1">
        <f t="array" ref="AO705">_xlfn.IFS(S705&lt;5000,"Low",
S705&lt;=15000,"Medium",
TRUE,"High")</f>
        <v>Medium</v>
      </c>
    </row>
    <row r="706" spans="1:41" hidden="1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 t="str">
        <f t="shared" si="30"/>
        <v>Active</v>
      </c>
      <c r="AK706">
        <f t="shared" ca="1" si="31"/>
        <v>2013</v>
      </c>
      <c r="AL706">
        <f t="shared" si="32"/>
        <v>0</v>
      </c>
      <c r="AM706" t="e" cm="1">
        <f t="array" aca="1" ref="AM706" ca="1">IF(B706="Yes",YEAR(TODAY()),BLANK())</f>
        <v>#NAME?</v>
      </c>
      <c r="AN706" t="str" cm="1">
        <f t="array" ref="AN706" xml:space="preserve"> _xlfn.IFS(A706&lt;25,"&lt;25",
A706&lt;=35,"25-35",
A706&lt;=45,"36-45",
TRUE,"45+"
)</f>
        <v>25-35</v>
      </c>
      <c r="AO706" t="str" cm="1">
        <f t="array" ref="AO706">_xlfn.IFS(S706&lt;5000,"Low",
S706&lt;=15000,"Medium",
TRUE,"High")</f>
        <v>Medium</v>
      </c>
    </row>
    <row r="707" spans="1:41" hidden="1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 t="str">
        <f t="shared" ref="AJ707:AJ770" si="33">IF(B707="Yes", "Resigned","Active")</f>
        <v>Active</v>
      </c>
      <c r="AK707">
        <f t="shared" ref="AK707:AK770" ca="1" si="34">YEAR(TODAY()) - AC707</f>
        <v>2016</v>
      </c>
      <c r="AL707">
        <f t="shared" ref="AL707:AL770" si="35">IF(B707="Yes",1,0)</f>
        <v>0</v>
      </c>
      <c r="AM707" t="e" cm="1">
        <f t="array" aca="1" ref="AM707" ca="1">IF(B707="Yes",YEAR(TODAY()),BLANK())</f>
        <v>#NAME?</v>
      </c>
      <c r="AN707" t="str" cm="1">
        <f t="array" ref="AN707" xml:space="preserve"> _xlfn.IFS(A707&lt;25,"&lt;25",
A707&lt;=35,"25-35",
A707&lt;=45,"36-45",
TRUE,"45+"
)</f>
        <v>36-45</v>
      </c>
      <c r="AO707" t="str" cm="1">
        <f t="array" ref="AO707">_xlfn.IFS(S707&lt;5000,"Low",
S707&lt;=15000,"Medium",
TRUE,"High")</f>
        <v>Medium</v>
      </c>
    </row>
    <row r="708" spans="1:41" hidden="1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 t="str">
        <f t="shared" si="33"/>
        <v>Resigned</v>
      </c>
      <c r="AK708">
        <f t="shared" ca="1" si="34"/>
        <v>2003</v>
      </c>
      <c r="AL708">
        <f t="shared" si="35"/>
        <v>1</v>
      </c>
      <c r="AM708" cm="1">
        <f t="array" aca="1" ref="AM708" ca="1">IF(B708="Yes",YEAR(TODAY()),BLANK())</f>
        <v>2025</v>
      </c>
      <c r="AN708" t="str" cm="1">
        <f t="array" ref="AN708" xml:space="preserve"> _xlfn.IFS(A708&lt;25,"&lt;25",
A708&lt;=35,"25-35",
A708&lt;=45,"36-45",
TRUE,"45+"
)</f>
        <v>36-45</v>
      </c>
      <c r="AO708" t="str" cm="1">
        <f t="array" ref="AO708">_xlfn.IFS(S708&lt;5000,"Low",
S708&lt;=15000,"Medium",
TRUE,"High")</f>
        <v>Medium</v>
      </c>
    </row>
    <row r="709" spans="1:41" hidden="1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 t="str">
        <f t="shared" si="33"/>
        <v>Active</v>
      </c>
      <c r="AK709">
        <f t="shared" ca="1" si="34"/>
        <v>2005</v>
      </c>
      <c r="AL709">
        <f t="shared" si="35"/>
        <v>0</v>
      </c>
      <c r="AM709" t="e" cm="1">
        <f t="array" aca="1" ref="AM709" ca="1">IF(B709="Yes",YEAR(TODAY()),BLANK())</f>
        <v>#NAME?</v>
      </c>
      <c r="AN709" t="str" cm="1">
        <f t="array" ref="AN709" xml:space="preserve"> _xlfn.IFS(A709&lt;25,"&lt;25",
A709&lt;=35,"25-35",
A709&lt;=45,"36-45",
TRUE,"45+"
)</f>
        <v>45+</v>
      </c>
      <c r="AO709" t="str" cm="1">
        <f t="array" ref="AO709">_xlfn.IFS(S709&lt;5000,"Low",
S709&lt;=15000,"Medium",
TRUE,"High")</f>
        <v>Medium</v>
      </c>
    </row>
    <row r="710" spans="1:41" hidden="1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 t="str">
        <f t="shared" si="33"/>
        <v>Active</v>
      </c>
      <c r="AK710">
        <f t="shared" ca="1" si="34"/>
        <v>2013</v>
      </c>
      <c r="AL710">
        <f t="shared" si="35"/>
        <v>0</v>
      </c>
      <c r="AM710" t="e" cm="1">
        <f t="array" aca="1" ref="AM710" ca="1">IF(B710="Yes",YEAR(TODAY()),BLANK())</f>
        <v>#NAME?</v>
      </c>
      <c r="AN710" t="str" cm="1">
        <f t="array" ref="AN710" xml:space="preserve"> _xlfn.IFS(A710&lt;25,"&lt;25",
A710&lt;=35,"25-35",
A710&lt;=45,"36-45",
TRUE,"45+"
)</f>
        <v>36-45</v>
      </c>
      <c r="AO710" t="str" cm="1">
        <f t="array" ref="AO710">_xlfn.IFS(S710&lt;5000,"Low",
S710&lt;=15000,"Medium",
TRUE,"High")</f>
        <v>Medium</v>
      </c>
    </row>
    <row r="711" spans="1:41" hidden="1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 t="str">
        <f t="shared" si="33"/>
        <v>Resigned</v>
      </c>
      <c r="AK711">
        <f t="shared" ca="1" si="34"/>
        <v>2021</v>
      </c>
      <c r="AL711">
        <f t="shared" si="35"/>
        <v>1</v>
      </c>
      <c r="AM711" cm="1">
        <f t="array" aca="1" ref="AM711" ca="1">IF(B711="Yes",YEAR(TODAY()),BLANK())</f>
        <v>2025</v>
      </c>
      <c r="AN711" t="str" cm="1">
        <f t="array" ref="AN711" xml:space="preserve"> _xlfn.IFS(A711&lt;25,"&lt;25",
A711&lt;=35,"25-35",
A711&lt;=45,"36-45",
TRUE,"45+"
)</f>
        <v>25-35</v>
      </c>
      <c r="AO711" t="str" cm="1">
        <f t="array" ref="AO711">_xlfn.IFS(S711&lt;5000,"Low",
S711&lt;=15000,"Medium",
TRUE,"High")</f>
        <v>Low</v>
      </c>
    </row>
    <row r="712" spans="1:41" hidden="1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 t="str">
        <f t="shared" si="33"/>
        <v>Active</v>
      </c>
      <c r="AK712">
        <f t="shared" ca="1" si="34"/>
        <v>2015</v>
      </c>
      <c r="AL712">
        <f t="shared" si="35"/>
        <v>0</v>
      </c>
      <c r="AM712" t="e" cm="1">
        <f t="array" aca="1" ref="AM712" ca="1">IF(B712="Yes",YEAR(TODAY()),BLANK())</f>
        <v>#NAME?</v>
      </c>
      <c r="AN712" t="str" cm="1">
        <f t="array" ref="AN712" xml:space="preserve"> _xlfn.IFS(A712&lt;25,"&lt;25",
A712&lt;=35,"25-35",
A712&lt;=45,"36-45",
TRUE,"45+"
)</f>
        <v>25-35</v>
      </c>
      <c r="AO712" t="str" cm="1">
        <f t="array" ref="AO712">_xlfn.IFS(S712&lt;5000,"Low",
S712&lt;=15000,"Medium",
TRUE,"High")</f>
        <v>High</v>
      </c>
    </row>
    <row r="713" spans="1:41" hidden="1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 t="str">
        <f t="shared" si="33"/>
        <v>Resigned</v>
      </c>
      <c r="AK713">
        <f t="shared" ca="1" si="34"/>
        <v>2022</v>
      </c>
      <c r="AL713">
        <f t="shared" si="35"/>
        <v>1</v>
      </c>
      <c r="AM713" cm="1">
        <f t="array" aca="1" ref="AM713" ca="1">IF(B713="Yes",YEAR(TODAY()),BLANK())</f>
        <v>2025</v>
      </c>
      <c r="AN713" t="str" cm="1">
        <f t="array" ref="AN713" xml:space="preserve"> _xlfn.IFS(A713&lt;25,"&lt;25",
A713&lt;=35,"25-35",
A713&lt;=45,"36-45",
TRUE,"45+"
)</f>
        <v>25-35</v>
      </c>
      <c r="AO713" t="str" cm="1">
        <f t="array" ref="AO713">_xlfn.IFS(S713&lt;5000,"Low",
S713&lt;=15000,"Medium",
TRUE,"High")</f>
        <v>Low</v>
      </c>
    </row>
    <row r="714" spans="1:41" hidden="1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 t="str">
        <f t="shared" si="33"/>
        <v>Active</v>
      </c>
      <c r="AK714">
        <f t="shared" ca="1" si="34"/>
        <v>2020</v>
      </c>
      <c r="AL714">
        <f t="shared" si="35"/>
        <v>0</v>
      </c>
      <c r="AM714" t="e" cm="1">
        <f t="array" aca="1" ref="AM714" ca="1">IF(B714="Yes",YEAR(TODAY()),BLANK())</f>
        <v>#NAME?</v>
      </c>
      <c r="AN714" t="str" cm="1">
        <f t="array" ref="AN714" xml:space="preserve"> _xlfn.IFS(A714&lt;25,"&lt;25",
A714&lt;=35,"25-35",
A714&lt;=45,"36-45",
TRUE,"45+"
)</f>
        <v>25-35</v>
      </c>
      <c r="AO714" t="str" cm="1">
        <f t="array" ref="AO714">_xlfn.IFS(S714&lt;5000,"Low",
S714&lt;=15000,"Medium",
TRUE,"High")</f>
        <v>Low</v>
      </c>
    </row>
    <row r="715" spans="1:41" hidden="1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 t="str">
        <f t="shared" si="33"/>
        <v>Active</v>
      </c>
      <c r="AK715">
        <f t="shared" ca="1" si="34"/>
        <v>2017</v>
      </c>
      <c r="AL715">
        <f t="shared" si="35"/>
        <v>0</v>
      </c>
      <c r="AM715" t="e" cm="1">
        <f t="array" aca="1" ref="AM715" ca="1">IF(B715="Yes",YEAR(TODAY()),BLANK())</f>
        <v>#NAME?</v>
      </c>
      <c r="AN715" t="str" cm="1">
        <f t="array" ref="AN715" xml:space="preserve"> _xlfn.IFS(A715&lt;25,"&lt;25",
A715&lt;=35,"25-35",
A715&lt;=45,"36-45",
TRUE,"45+"
)</f>
        <v>36-45</v>
      </c>
      <c r="AO715" t="str" cm="1">
        <f t="array" ref="AO715">_xlfn.IFS(S715&lt;5000,"Low",
S715&lt;=15000,"Medium",
TRUE,"High")</f>
        <v>Low</v>
      </c>
    </row>
    <row r="716" spans="1:41" hidden="1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 t="str">
        <f t="shared" si="33"/>
        <v>Active</v>
      </c>
      <c r="AK716">
        <f t="shared" ca="1" si="34"/>
        <v>1993</v>
      </c>
      <c r="AL716">
        <f t="shared" si="35"/>
        <v>0</v>
      </c>
      <c r="AM716" t="e" cm="1">
        <f t="array" aca="1" ref="AM716" ca="1">IF(B716="Yes",YEAR(TODAY()),BLANK())</f>
        <v>#NAME?</v>
      </c>
      <c r="AN716" t="str" cm="1">
        <f t="array" ref="AN716" xml:space="preserve"> _xlfn.IFS(A716&lt;25,"&lt;25",
A716&lt;=35,"25-35",
A716&lt;=45,"36-45",
TRUE,"45+"
)</f>
        <v>45+</v>
      </c>
      <c r="AO716" t="str" cm="1">
        <f t="array" ref="AO716">_xlfn.IFS(S716&lt;5000,"Low",
S716&lt;=15000,"Medium",
TRUE,"High")</f>
        <v>High</v>
      </c>
    </row>
    <row r="717" spans="1:41" hidden="1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 t="str">
        <f t="shared" si="33"/>
        <v>Active</v>
      </c>
      <c r="AK717">
        <f t="shared" ca="1" si="34"/>
        <v>2019</v>
      </c>
      <c r="AL717">
        <f t="shared" si="35"/>
        <v>0</v>
      </c>
      <c r="AM717" t="e" cm="1">
        <f t="array" aca="1" ref="AM717" ca="1">IF(B717="Yes",YEAR(TODAY()),BLANK())</f>
        <v>#NAME?</v>
      </c>
      <c r="AN717" t="str" cm="1">
        <f t="array" ref="AN717" xml:space="preserve"> _xlfn.IFS(A717&lt;25,"&lt;25",
A717&lt;=35,"25-35",
A717&lt;=45,"36-45",
TRUE,"45+"
)</f>
        <v>25-35</v>
      </c>
      <c r="AO717" t="str" cm="1">
        <f t="array" ref="AO717">_xlfn.IFS(S717&lt;5000,"Low",
S717&lt;=15000,"Medium",
TRUE,"High")</f>
        <v>Medium</v>
      </c>
    </row>
    <row r="718" spans="1:41" hidden="1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 t="str">
        <f t="shared" si="33"/>
        <v>Active</v>
      </c>
      <c r="AK718">
        <f t="shared" ca="1" si="34"/>
        <v>2004</v>
      </c>
      <c r="AL718">
        <f t="shared" si="35"/>
        <v>0</v>
      </c>
      <c r="AM718" t="e" cm="1">
        <f t="array" aca="1" ref="AM718" ca="1">IF(B718="Yes",YEAR(TODAY()),BLANK())</f>
        <v>#NAME?</v>
      </c>
      <c r="AN718" t="str" cm="1">
        <f t="array" ref="AN718" xml:space="preserve"> _xlfn.IFS(A718&lt;25,"&lt;25",
A718&lt;=35,"25-35",
A718&lt;=45,"36-45",
TRUE,"45+"
)</f>
        <v>36-45</v>
      </c>
      <c r="AO718" t="str" cm="1">
        <f t="array" ref="AO718">_xlfn.IFS(S718&lt;5000,"Low",
S718&lt;=15000,"Medium",
TRUE,"High")</f>
        <v>High</v>
      </c>
    </row>
    <row r="719" spans="1:41" hidden="1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 t="str">
        <f t="shared" si="33"/>
        <v>Active</v>
      </c>
      <c r="AK719">
        <f t="shared" ca="1" si="34"/>
        <v>2021</v>
      </c>
      <c r="AL719">
        <f t="shared" si="35"/>
        <v>0</v>
      </c>
      <c r="AM719" t="e" cm="1">
        <f t="array" aca="1" ref="AM719" ca="1">IF(B719="Yes",YEAR(TODAY()),BLANK())</f>
        <v>#NAME?</v>
      </c>
      <c r="AN719" t="str" cm="1">
        <f t="array" ref="AN719" xml:space="preserve"> _xlfn.IFS(A719&lt;25,"&lt;25",
A719&lt;=35,"25-35",
A719&lt;=45,"36-45",
TRUE,"45+"
)</f>
        <v>25-35</v>
      </c>
      <c r="AO719" t="str" cm="1">
        <f t="array" ref="AO719">_xlfn.IFS(S719&lt;5000,"Low",
S719&lt;=15000,"Medium",
TRUE,"High")</f>
        <v>Low</v>
      </c>
    </row>
    <row r="720" spans="1:41" hidden="1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 t="str">
        <f t="shared" si="33"/>
        <v>Active</v>
      </c>
      <c r="AK720">
        <f t="shared" ca="1" si="34"/>
        <v>2016</v>
      </c>
      <c r="AL720">
        <f t="shared" si="35"/>
        <v>0</v>
      </c>
      <c r="AM720" t="e" cm="1">
        <f t="array" aca="1" ref="AM720" ca="1">IF(B720="Yes",YEAR(TODAY()),BLANK())</f>
        <v>#NAME?</v>
      </c>
      <c r="AN720" t="str" cm="1">
        <f t="array" ref="AN720" xml:space="preserve"> _xlfn.IFS(A720&lt;25,"&lt;25",
A720&lt;=35,"25-35",
A720&lt;=45,"36-45",
TRUE,"45+"
)</f>
        <v>36-45</v>
      </c>
      <c r="AO720" t="str" cm="1">
        <f t="array" ref="AO720">_xlfn.IFS(S720&lt;5000,"Low",
S720&lt;=15000,"Medium",
TRUE,"High")</f>
        <v>Low</v>
      </c>
    </row>
    <row r="721" spans="1:41" hidden="1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 t="str">
        <f t="shared" si="33"/>
        <v>Active</v>
      </c>
      <c r="AK721">
        <f t="shared" ca="1" si="34"/>
        <v>2016</v>
      </c>
      <c r="AL721">
        <f t="shared" si="35"/>
        <v>0</v>
      </c>
      <c r="AM721" t="e" cm="1">
        <f t="array" aca="1" ref="AM721" ca="1">IF(B721="Yes",YEAR(TODAY()),BLANK())</f>
        <v>#NAME?</v>
      </c>
      <c r="AN721" t="str" cm="1">
        <f t="array" ref="AN721" xml:space="preserve"> _xlfn.IFS(A721&lt;25,"&lt;25",
A721&lt;=35,"25-35",
A721&lt;=45,"36-45",
TRUE,"45+"
)</f>
        <v>45+</v>
      </c>
      <c r="AO721" t="str" cm="1">
        <f t="array" ref="AO721">_xlfn.IFS(S721&lt;5000,"Low",
S721&lt;=15000,"Medium",
TRUE,"High")</f>
        <v>Low</v>
      </c>
    </row>
    <row r="722" spans="1:41" hidden="1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 t="str">
        <f t="shared" si="33"/>
        <v>Resigned</v>
      </c>
      <c r="AK722">
        <f t="shared" ca="1" si="34"/>
        <v>2018</v>
      </c>
      <c r="AL722">
        <f t="shared" si="35"/>
        <v>1</v>
      </c>
      <c r="AM722" cm="1">
        <f t="array" aca="1" ref="AM722" ca="1">IF(B722="Yes",YEAR(TODAY()),BLANK())</f>
        <v>2025</v>
      </c>
      <c r="AN722" t="str" cm="1">
        <f t="array" ref="AN722" xml:space="preserve"> _xlfn.IFS(A722&lt;25,"&lt;25",
A722&lt;=35,"25-35",
A722&lt;=45,"36-45",
TRUE,"45+"
)</f>
        <v>25-35</v>
      </c>
      <c r="AO722" t="str" cm="1">
        <f t="array" ref="AO722">_xlfn.IFS(S722&lt;5000,"Low",
S722&lt;=15000,"Medium",
TRUE,"High")</f>
        <v>Low</v>
      </c>
    </row>
    <row r="723" spans="1:41" hidden="1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 t="str">
        <f t="shared" si="33"/>
        <v>Active</v>
      </c>
      <c r="AK723">
        <f t="shared" ca="1" si="34"/>
        <v>2003</v>
      </c>
      <c r="AL723">
        <f t="shared" si="35"/>
        <v>0</v>
      </c>
      <c r="AM723" t="e" cm="1">
        <f t="array" aca="1" ref="AM723" ca="1">IF(B723="Yes",YEAR(TODAY()),BLANK())</f>
        <v>#NAME?</v>
      </c>
      <c r="AN723" t="str" cm="1">
        <f t="array" ref="AN723" xml:space="preserve"> _xlfn.IFS(A723&lt;25,"&lt;25",
A723&lt;=35,"25-35",
A723&lt;=45,"36-45",
TRUE,"45+"
)</f>
        <v>45+</v>
      </c>
      <c r="AO723" t="str" cm="1">
        <f t="array" ref="AO723">_xlfn.IFS(S723&lt;5000,"Low",
S723&lt;=15000,"Medium",
TRUE,"High")</f>
        <v>Medium</v>
      </c>
    </row>
    <row r="724" spans="1:41" hidden="1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 t="str">
        <f t="shared" si="33"/>
        <v>Active</v>
      </c>
      <c r="AK724">
        <f t="shared" ca="1" si="34"/>
        <v>2022</v>
      </c>
      <c r="AL724">
        <f t="shared" si="35"/>
        <v>0</v>
      </c>
      <c r="AM724" t="e" cm="1">
        <f t="array" aca="1" ref="AM724" ca="1">IF(B724="Yes",YEAR(TODAY()),BLANK())</f>
        <v>#NAME?</v>
      </c>
      <c r="AN724" t="str" cm="1">
        <f t="array" ref="AN724" xml:space="preserve"> _xlfn.IFS(A724&lt;25,"&lt;25",
A724&lt;=35,"25-35",
A724&lt;=45,"36-45",
TRUE,"45+"
)</f>
        <v>36-45</v>
      </c>
      <c r="AO724" t="str" cm="1">
        <f t="array" ref="AO724">_xlfn.IFS(S724&lt;5000,"Low",
S724&lt;=15000,"Medium",
TRUE,"High")</f>
        <v>Low</v>
      </c>
    </row>
    <row r="725" spans="1:41" hidden="1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 t="str">
        <f t="shared" si="33"/>
        <v>Active</v>
      </c>
      <c r="AK725">
        <f t="shared" ca="1" si="34"/>
        <v>2012</v>
      </c>
      <c r="AL725">
        <f t="shared" si="35"/>
        <v>0</v>
      </c>
      <c r="AM725" t="e" cm="1">
        <f t="array" aca="1" ref="AM725" ca="1">IF(B725="Yes",YEAR(TODAY()),BLANK())</f>
        <v>#NAME?</v>
      </c>
      <c r="AN725" t="str" cm="1">
        <f t="array" ref="AN725" xml:space="preserve"> _xlfn.IFS(A725&lt;25,"&lt;25",
A725&lt;=35,"25-35",
A725&lt;=45,"36-45",
TRUE,"45+"
)</f>
        <v>45+</v>
      </c>
      <c r="AO725" t="str" cm="1">
        <f t="array" ref="AO725">_xlfn.IFS(S725&lt;5000,"Low",
S725&lt;=15000,"Medium",
TRUE,"High")</f>
        <v>Medium</v>
      </c>
    </row>
    <row r="726" spans="1:41" hidden="1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 t="str">
        <f t="shared" si="33"/>
        <v>Active</v>
      </c>
      <c r="AK726">
        <f t="shared" ca="1" si="34"/>
        <v>2020</v>
      </c>
      <c r="AL726">
        <f t="shared" si="35"/>
        <v>0</v>
      </c>
      <c r="AM726" t="e" cm="1">
        <f t="array" aca="1" ref="AM726" ca="1">IF(B726="Yes",YEAR(TODAY()),BLANK())</f>
        <v>#NAME?</v>
      </c>
      <c r="AN726" t="str" cm="1">
        <f t="array" ref="AN726" xml:space="preserve"> _xlfn.IFS(A726&lt;25,"&lt;25",
A726&lt;=35,"25-35",
A726&lt;=45,"36-45",
TRUE,"45+"
)</f>
        <v>&lt;25</v>
      </c>
      <c r="AO726" t="str" cm="1">
        <f t="array" ref="AO726">_xlfn.IFS(S726&lt;5000,"Low",
S726&lt;=15000,"Medium",
TRUE,"High")</f>
        <v>Low</v>
      </c>
    </row>
    <row r="727" spans="1:41" hidden="1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 t="str">
        <f t="shared" si="33"/>
        <v>Resigned</v>
      </c>
      <c r="AK727">
        <f t="shared" ca="1" si="34"/>
        <v>2020</v>
      </c>
      <c r="AL727">
        <f t="shared" si="35"/>
        <v>1</v>
      </c>
      <c r="AM727" cm="1">
        <f t="array" aca="1" ref="AM727" ca="1">IF(B727="Yes",YEAR(TODAY()),BLANK())</f>
        <v>2025</v>
      </c>
      <c r="AN727" t="str" cm="1">
        <f t="array" ref="AN727" xml:space="preserve"> _xlfn.IFS(A727&lt;25,"&lt;25",
A727&lt;=35,"25-35",
A727&lt;=45,"36-45",
TRUE,"45+"
)</f>
        <v>25-35</v>
      </c>
      <c r="AO727" t="str" cm="1">
        <f t="array" ref="AO727">_xlfn.IFS(S727&lt;5000,"Low",
S727&lt;=15000,"Medium",
TRUE,"High")</f>
        <v>Low</v>
      </c>
    </row>
    <row r="728" spans="1:41" hidden="1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 t="str">
        <f t="shared" si="33"/>
        <v>Active</v>
      </c>
      <c r="AK728">
        <f t="shared" ca="1" si="34"/>
        <v>2021</v>
      </c>
      <c r="AL728">
        <f t="shared" si="35"/>
        <v>0</v>
      </c>
      <c r="AM728" t="e" cm="1">
        <f t="array" aca="1" ref="AM728" ca="1">IF(B728="Yes",YEAR(TODAY()),BLANK())</f>
        <v>#NAME?</v>
      </c>
      <c r="AN728" t="str" cm="1">
        <f t="array" ref="AN728" xml:space="preserve"> _xlfn.IFS(A728&lt;25,"&lt;25",
A728&lt;=35,"25-35",
A728&lt;=45,"36-45",
TRUE,"45+"
)</f>
        <v>25-35</v>
      </c>
      <c r="AO728" t="str" cm="1">
        <f t="array" ref="AO728">_xlfn.IFS(S728&lt;5000,"Low",
S728&lt;=15000,"Medium",
TRUE,"High")</f>
        <v>Low</v>
      </c>
    </row>
    <row r="729" spans="1:41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 t="str">
        <f t="shared" si="33"/>
        <v>Active</v>
      </c>
      <c r="AK729">
        <f t="shared" ca="1" si="34"/>
        <v>2025</v>
      </c>
      <c r="AL729">
        <f t="shared" si="35"/>
        <v>0</v>
      </c>
      <c r="AM729" t="e" cm="1">
        <f t="array" aca="1" ref="AM729" ca="1">IF(B729="Yes",YEAR(TODAY()),BLANK())</f>
        <v>#NAME?</v>
      </c>
      <c r="AN729" t="str" cm="1">
        <f t="array" ref="AN729" xml:space="preserve"> _xlfn.IFS(A729&lt;25,"&lt;25",
A729&lt;=35,"25-35",
A729&lt;=45,"36-45",
TRUE,"45+"
)</f>
        <v>&lt;25</v>
      </c>
      <c r="AO729" t="str" cm="1">
        <f t="array" ref="AO729">_xlfn.IFS(S729&lt;5000,"Low",
S729&lt;=15000,"Medium",
TRUE,"High")</f>
        <v>Low</v>
      </c>
    </row>
    <row r="730" spans="1:41" hidden="1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 t="str">
        <f t="shared" si="33"/>
        <v>Active</v>
      </c>
      <c r="AK730">
        <f t="shared" ca="1" si="34"/>
        <v>2003</v>
      </c>
      <c r="AL730">
        <f t="shared" si="35"/>
        <v>0</v>
      </c>
      <c r="AM730" t="e" cm="1">
        <f t="array" aca="1" ref="AM730" ca="1">IF(B730="Yes",YEAR(TODAY()),BLANK())</f>
        <v>#NAME?</v>
      </c>
      <c r="AN730" t="str" cm="1">
        <f t="array" ref="AN730" xml:space="preserve"> _xlfn.IFS(A730&lt;25,"&lt;25",
A730&lt;=35,"25-35",
A730&lt;=45,"36-45",
TRUE,"45+"
)</f>
        <v>45+</v>
      </c>
      <c r="AO730" t="str" cm="1">
        <f t="array" ref="AO730">_xlfn.IFS(S730&lt;5000,"Low",
S730&lt;=15000,"Medium",
TRUE,"High")</f>
        <v>Medium</v>
      </c>
    </row>
    <row r="731" spans="1:41" hidden="1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 t="str">
        <f t="shared" si="33"/>
        <v>Active</v>
      </c>
      <c r="AK731">
        <f t="shared" ca="1" si="34"/>
        <v>2009</v>
      </c>
      <c r="AL731">
        <f t="shared" si="35"/>
        <v>0</v>
      </c>
      <c r="AM731" t="e" cm="1">
        <f t="array" aca="1" ref="AM731" ca="1">IF(B731="Yes",YEAR(TODAY()),BLANK())</f>
        <v>#NAME?</v>
      </c>
      <c r="AN731" t="str" cm="1">
        <f t="array" ref="AN731" xml:space="preserve"> _xlfn.IFS(A731&lt;25,"&lt;25",
A731&lt;=35,"25-35",
A731&lt;=45,"36-45",
TRUE,"45+"
)</f>
        <v>25-35</v>
      </c>
      <c r="AO731" t="str" cm="1">
        <f t="array" ref="AO731">_xlfn.IFS(S731&lt;5000,"Low",
S731&lt;=15000,"Medium",
TRUE,"High")</f>
        <v>Medium</v>
      </c>
    </row>
    <row r="732" spans="1:41" hidden="1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 t="str">
        <f t="shared" si="33"/>
        <v>Active</v>
      </c>
      <c r="AK732">
        <f t="shared" ca="1" si="34"/>
        <v>2016</v>
      </c>
      <c r="AL732">
        <f t="shared" si="35"/>
        <v>0</v>
      </c>
      <c r="AM732" t="e" cm="1">
        <f t="array" aca="1" ref="AM732" ca="1">IF(B732="Yes",YEAR(TODAY()),BLANK())</f>
        <v>#NAME?</v>
      </c>
      <c r="AN732" t="str" cm="1">
        <f t="array" ref="AN732" xml:space="preserve"> _xlfn.IFS(A732&lt;25,"&lt;25",
A732&lt;=35,"25-35",
A732&lt;=45,"36-45",
TRUE,"45+"
)</f>
        <v>25-35</v>
      </c>
      <c r="AO732" t="str" cm="1">
        <f t="array" ref="AO732">_xlfn.IFS(S732&lt;5000,"Low",
S732&lt;=15000,"Medium",
TRUE,"High")</f>
        <v>Medium</v>
      </c>
    </row>
    <row r="733" spans="1:41" hidden="1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 t="str">
        <f t="shared" si="33"/>
        <v>Resigned</v>
      </c>
      <c r="AK733">
        <f t="shared" ca="1" si="34"/>
        <v>2024</v>
      </c>
      <c r="AL733">
        <f t="shared" si="35"/>
        <v>1</v>
      </c>
      <c r="AM733" cm="1">
        <f t="array" aca="1" ref="AM733" ca="1">IF(B733="Yes",YEAR(TODAY()),BLANK())</f>
        <v>2025</v>
      </c>
      <c r="AN733" t="str" cm="1">
        <f t="array" ref="AN733" xml:space="preserve"> _xlfn.IFS(A733&lt;25,"&lt;25",
A733&lt;=35,"25-35",
A733&lt;=45,"36-45",
TRUE,"45+"
)</f>
        <v>&lt;25</v>
      </c>
      <c r="AO733" t="str" cm="1">
        <f t="array" ref="AO733">_xlfn.IFS(S733&lt;5000,"Low",
S733&lt;=15000,"Medium",
TRUE,"High")</f>
        <v>Low</v>
      </c>
    </row>
    <row r="734" spans="1:41" hidden="1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 t="str">
        <f t="shared" si="33"/>
        <v>Resigned</v>
      </c>
      <c r="AK734">
        <f t="shared" ca="1" si="34"/>
        <v>2021</v>
      </c>
      <c r="AL734">
        <f t="shared" si="35"/>
        <v>1</v>
      </c>
      <c r="AM734" cm="1">
        <f t="array" aca="1" ref="AM734" ca="1">IF(B734="Yes",YEAR(TODAY()),BLANK())</f>
        <v>2025</v>
      </c>
      <c r="AN734" t="str" cm="1">
        <f t="array" ref="AN734" xml:space="preserve"> _xlfn.IFS(A734&lt;25,"&lt;25",
A734&lt;=35,"25-35",
A734&lt;=45,"36-45",
TRUE,"45+"
)</f>
        <v>25-35</v>
      </c>
      <c r="AO734" t="str" cm="1">
        <f t="array" ref="AO734">_xlfn.IFS(S734&lt;5000,"Low",
S734&lt;=15000,"Medium",
TRUE,"High")</f>
        <v>Low</v>
      </c>
    </row>
    <row r="735" spans="1:41" hidden="1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 t="str">
        <f t="shared" si="33"/>
        <v>Active</v>
      </c>
      <c r="AK735">
        <f t="shared" ca="1" si="34"/>
        <v>2017</v>
      </c>
      <c r="AL735">
        <f t="shared" si="35"/>
        <v>0</v>
      </c>
      <c r="AM735" t="e" cm="1">
        <f t="array" aca="1" ref="AM735" ca="1">IF(B735="Yes",YEAR(TODAY()),BLANK())</f>
        <v>#NAME?</v>
      </c>
      <c r="AN735" t="str" cm="1">
        <f t="array" ref="AN735" xml:space="preserve"> _xlfn.IFS(A735&lt;25,"&lt;25",
A735&lt;=35,"25-35",
A735&lt;=45,"36-45",
TRUE,"45+"
)</f>
        <v>25-35</v>
      </c>
      <c r="AO735" t="str" cm="1">
        <f t="array" ref="AO735">_xlfn.IFS(S735&lt;5000,"Low",
S735&lt;=15000,"Medium",
TRUE,"High")</f>
        <v>Medium</v>
      </c>
    </row>
    <row r="736" spans="1:41" hidden="1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 t="str">
        <f t="shared" si="33"/>
        <v>Active</v>
      </c>
      <c r="AK736">
        <f t="shared" ca="1" si="34"/>
        <v>2021</v>
      </c>
      <c r="AL736">
        <f t="shared" si="35"/>
        <v>0</v>
      </c>
      <c r="AM736" t="e" cm="1">
        <f t="array" aca="1" ref="AM736" ca="1">IF(B736="Yes",YEAR(TODAY()),BLANK())</f>
        <v>#NAME?</v>
      </c>
      <c r="AN736" t="str" cm="1">
        <f t="array" ref="AN736" xml:space="preserve"> _xlfn.IFS(A736&lt;25,"&lt;25",
A736&lt;=35,"25-35",
A736&lt;=45,"36-45",
TRUE,"45+"
)</f>
        <v>&lt;25</v>
      </c>
      <c r="AO736" t="str" cm="1">
        <f t="array" ref="AO736">_xlfn.IFS(S736&lt;5000,"Low",
S736&lt;=15000,"Medium",
TRUE,"High")</f>
        <v>Low</v>
      </c>
    </row>
    <row r="737" spans="1:41" hidden="1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 t="str">
        <f t="shared" si="33"/>
        <v>Active</v>
      </c>
      <c r="AK737">
        <f t="shared" ca="1" si="34"/>
        <v>2006</v>
      </c>
      <c r="AL737">
        <f t="shared" si="35"/>
        <v>0</v>
      </c>
      <c r="AM737" t="e" cm="1">
        <f t="array" aca="1" ref="AM737" ca="1">IF(B737="Yes",YEAR(TODAY()),BLANK())</f>
        <v>#NAME?</v>
      </c>
      <c r="AN737" t="str" cm="1">
        <f t="array" ref="AN737" xml:space="preserve"> _xlfn.IFS(A737&lt;25,"&lt;25",
A737&lt;=35,"25-35",
A737&lt;=45,"36-45",
TRUE,"45+"
)</f>
        <v>45+</v>
      </c>
      <c r="AO737" t="str" cm="1">
        <f t="array" ref="AO737">_xlfn.IFS(S737&lt;5000,"Low",
S737&lt;=15000,"Medium",
TRUE,"High")</f>
        <v>Low</v>
      </c>
    </row>
    <row r="738" spans="1:41" hidden="1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 t="str">
        <f t="shared" si="33"/>
        <v>Active</v>
      </c>
      <c r="AK738">
        <f t="shared" ca="1" si="34"/>
        <v>1998</v>
      </c>
      <c r="AL738">
        <f t="shared" si="35"/>
        <v>0</v>
      </c>
      <c r="AM738" t="e" cm="1">
        <f t="array" aca="1" ref="AM738" ca="1">IF(B738="Yes",YEAR(TODAY()),BLANK())</f>
        <v>#NAME?</v>
      </c>
      <c r="AN738" t="str" cm="1">
        <f t="array" ref="AN738" xml:space="preserve"> _xlfn.IFS(A738&lt;25,"&lt;25",
A738&lt;=35,"25-35",
A738&lt;=45,"36-45",
TRUE,"45+"
)</f>
        <v>45+</v>
      </c>
      <c r="AO738" t="str" cm="1">
        <f t="array" ref="AO738">_xlfn.IFS(S738&lt;5000,"Low",
S738&lt;=15000,"Medium",
TRUE,"High")</f>
        <v>Medium</v>
      </c>
    </row>
    <row r="739" spans="1:41" hidden="1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 t="str">
        <f t="shared" si="33"/>
        <v>Active</v>
      </c>
      <c r="AK739">
        <f t="shared" ca="1" si="34"/>
        <v>2017</v>
      </c>
      <c r="AL739">
        <f t="shared" si="35"/>
        <v>0</v>
      </c>
      <c r="AM739" t="e" cm="1">
        <f t="array" aca="1" ref="AM739" ca="1">IF(B739="Yes",YEAR(TODAY()),BLANK())</f>
        <v>#NAME?</v>
      </c>
      <c r="AN739" t="str" cm="1">
        <f t="array" ref="AN739" xml:space="preserve"> _xlfn.IFS(A739&lt;25,"&lt;25",
A739&lt;=35,"25-35",
A739&lt;=45,"36-45",
TRUE,"45+"
)</f>
        <v>36-45</v>
      </c>
      <c r="AO739" t="str" cm="1">
        <f t="array" ref="AO739">_xlfn.IFS(S739&lt;5000,"Low",
S739&lt;=15000,"Medium",
TRUE,"High")</f>
        <v>Medium</v>
      </c>
    </row>
    <row r="740" spans="1:41" hidden="1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 t="str">
        <f t="shared" si="33"/>
        <v>Active</v>
      </c>
      <c r="AK740">
        <f t="shared" ca="1" si="34"/>
        <v>2004</v>
      </c>
      <c r="AL740">
        <f t="shared" si="35"/>
        <v>0</v>
      </c>
      <c r="AM740" t="e" cm="1">
        <f t="array" aca="1" ref="AM740" ca="1">IF(B740="Yes",YEAR(TODAY()),BLANK())</f>
        <v>#NAME?</v>
      </c>
      <c r="AN740" t="str" cm="1">
        <f t="array" ref="AN740" xml:space="preserve"> _xlfn.IFS(A740&lt;25,"&lt;25",
A740&lt;=35,"25-35",
A740&lt;=45,"36-45",
TRUE,"45+"
)</f>
        <v>36-45</v>
      </c>
      <c r="AO740" t="str" cm="1">
        <f t="array" ref="AO740">_xlfn.IFS(S740&lt;5000,"Low",
S740&lt;=15000,"Medium",
TRUE,"High")</f>
        <v>Medium</v>
      </c>
    </row>
    <row r="741" spans="1:41" hidden="1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 t="str">
        <f t="shared" si="33"/>
        <v>Active</v>
      </c>
      <c r="AK741">
        <f t="shared" ca="1" si="34"/>
        <v>2021</v>
      </c>
      <c r="AL741">
        <f t="shared" si="35"/>
        <v>0</v>
      </c>
      <c r="AM741" t="e" cm="1">
        <f t="array" aca="1" ref="AM741" ca="1">IF(B741="Yes",YEAR(TODAY()),BLANK())</f>
        <v>#NAME?</v>
      </c>
      <c r="AN741" t="str" cm="1">
        <f t="array" ref="AN741" xml:space="preserve"> _xlfn.IFS(A741&lt;25,"&lt;25",
A741&lt;=35,"25-35",
A741&lt;=45,"36-45",
TRUE,"45+"
)</f>
        <v>25-35</v>
      </c>
      <c r="AO741" t="str" cm="1">
        <f t="array" ref="AO741">_xlfn.IFS(S741&lt;5000,"Low",
S741&lt;=15000,"Medium",
TRUE,"High")</f>
        <v>Low</v>
      </c>
    </row>
    <row r="742" spans="1:41" hidden="1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 t="str">
        <f t="shared" si="33"/>
        <v>Active</v>
      </c>
      <c r="AK742">
        <f t="shared" ca="1" si="34"/>
        <v>2022</v>
      </c>
      <c r="AL742">
        <f t="shared" si="35"/>
        <v>0</v>
      </c>
      <c r="AM742" t="e" cm="1">
        <f t="array" aca="1" ref="AM742" ca="1">IF(B742="Yes",YEAR(TODAY()),BLANK())</f>
        <v>#NAME?</v>
      </c>
      <c r="AN742" t="str" cm="1">
        <f t="array" ref="AN742" xml:space="preserve"> _xlfn.IFS(A742&lt;25,"&lt;25",
A742&lt;=35,"25-35",
A742&lt;=45,"36-45",
TRUE,"45+"
)</f>
        <v>25-35</v>
      </c>
      <c r="AO742" t="str" cm="1">
        <f t="array" ref="AO742">_xlfn.IFS(S742&lt;5000,"Low",
S742&lt;=15000,"Medium",
TRUE,"High")</f>
        <v>Low</v>
      </c>
    </row>
    <row r="743" spans="1:41" hidden="1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 t="str">
        <f t="shared" si="33"/>
        <v>Active</v>
      </c>
      <c r="AK743">
        <f t="shared" ca="1" si="34"/>
        <v>2004</v>
      </c>
      <c r="AL743">
        <f t="shared" si="35"/>
        <v>0</v>
      </c>
      <c r="AM743" t="e" cm="1">
        <f t="array" aca="1" ref="AM743" ca="1">IF(B743="Yes",YEAR(TODAY()),BLANK())</f>
        <v>#NAME?</v>
      </c>
      <c r="AN743" t="str" cm="1">
        <f t="array" ref="AN743" xml:space="preserve"> _xlfn.IFS(A743&lt;25,"&lt;25",
A743&lt;=35,"25-35",
A743&lt;=45,"36-45",
TRUE,"45+"
)</f>
        <v>36-45</v>
      </c>
      <c r="AO743" t="str" cm="1">
        <f t="array" ref="AO743">_xlfn.IFS(S743&lt;5000,"Low",
S743&lt;=15000,"Medium",
TRUE,"High")</f>
        <v>High</v>
      </c>
    </row>
    <row r="744" spans="1:41" hidden="1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 t="str">
        <f t="shared" si="33"/>
        <v>Active</v>
      </c>
      <c r="AK744">
        <f t="shared" ca="1" si="34"/>
        <v>2017</v>
      </c>
      <c r="AL744">
        <f t="shared" si="35"/>
        <v>0</v>
      </c>
      <c r="AM744" t="e" cm="1">
        <f t="array" aca="1" ref="AM744" ca="1">IF(B744="Yes",YEAR(TODAY()),BLANK())</f>
        <v>#NAME?</v>
      </c>
      <c r="AN744" t="str" cm="1">
        <f t="array" ref="AN744" xml:space="preserve"> _xlfn.IFS(A744&lt;25,"&lt;25",
A744&lt;=35,"25-35",
A744&lt;=45,"36-45",
TRUE,"45+"
)</f>
        <v>45+</v>
      </c>
      <c r="AO744" t="str" cm="1">
        <f t="array" ref="AO744">_xlfn.IFS(S744&lt;5000,"Low",
S744&lt;=15000,"Medium",
TRUE,"High")</f>
        <v>Low</v>
      </c>
    </row>
    <row r="745" spans="1:41" hidden="1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 t="str">
        <f t="shared" si="33"/>
        <v>Active</v>
      </c>
      <c r="AK745">
        <f t="shared" ca="1" si="34"/>
        <v>1995</v>
      </c>
      <c r="AL745">
        <f t="shared" si="35"/>
        <v>0</v>
      </c>
      <c r="AM745" t="e" cm="1">
        <f t="array" aca="1" ref="AM745" ca="1">IF(B745="Yes",YEAR(TODAY()),BLANK())</f>
        <v>#NAME?</v>
      </c>
      <c r="AN745" t="str" cm="1">
        <f t="array" ref="AN745" xml:space="preserve"> _xlfn.IFS(A745&lt;25,"&lt;25",
A745&lt;=35,"25-35",
A745&lt;=45,"36-45",
TRUE,"45+"
)</f>
        <v>45+</v>
      </c>
      <c r="AO745" t="str" cm="1">
        <f t="array" ref="AO745">_xlfn.IFS(S745&lt;5000,"Low",
S745&lt;=15000,"Medium",
TRUE,"High")</f>
        <v>Medium</v>
      </c>
    </row>
    <row r="746" spans="1:41" hidden="1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 t="str">
        <f t="shared" si="33"/>
        <v>Resigned</v>
      </c>
      <c r="AK746">
        <f t="shared" ca="1" si="34"/>
        <v>2010</v>
      </c>
      <c r="AL746">
        <f t="shared" si="35"/>
        <v>1</v>
      </c>
      <c r="AM746" cm="1">
        <f t="array" aca="1" ref="AM746" ca="1">IF(B746="Yes",YEAR(TODAY()),BLANK())</f>
        <v>2025</v>
      </c>
      <c r="AN746" t="str" cm="1">
        <f t="array" ref="AN746" xml:space="preserve"> _xlfn.IFS(A746&lt;25,"&lt;25",
A746&lt;=35,"25-35",
A746&lt;=45,"36-45",
TRUE,"45+"
)</f>
        <v>36-45</v>
      </c>
      <c r="AO746" t="str" cm="1">
        <f t="array" ref="AO746">_xlfn.IFS(S746&lt;5000,"Low",
S746&lt;=15000,"Medium",
TRUE,"High")</f>
        <v>Low</v>
      </c>
    </row>
    <row r="747" spans="1:41" hidden="1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 t="str">
        <f t="shared" si="33"/>
        <v>Active</v>
      </c>
      <c r="AK747">
        <f t="shared" ca="1" si="34"/>
        <v>2008</v>
      </c>
      <c r="AL747">
        <f t="shared" si="35"/>
        <v>0</v>
      </c>
      <c r="AM747" t="e" cm="1">
        <f t="array" aca="1" ref="AM747" ca="1">IF(B747="Yes",YEAR(TODAY()),BLANK())</f>
        <v>#NAME?</v>
      </c>
      <c r="AN747" t="str" cm="1">
        <f t="array" ref="AN747" xml:space="preserve"> _xlfn.IFS(A747&lt;25,"&lt;25",
A747&lt;=35,"25-35",
A747&lt;=45,"36-45",
TRUE,"45+"
)</f>
        <v>45+</v>
      </c>
      <c r="AO747" t="str" cm="1">
        <f t="array" ref="AO747">_xlfn.IFS(S747&lt;5000,"Low",
S747&lt;=15000,"Medium",
TRUE,"High")</f>
        <v>Medium</v>
      </c>
    </row>
    <row r="748" spans="1:41" hidden="1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 t="str">
        <f t="shared" si="33"/>
        <v>Active</v>
      </c>
      <c r="AK748">
        <f t="shared" ca="1" si="34"/>
        <v>2004</v>
      </c>
      <c r="AL748">
        <f t="shared" si="35"/>
        <v>0</v>
      </c>
      <c r="AM748" t="e" cm="1">
        <f t="array" aca="1" ref="AM748" ca="1">IF(B748="Yes",YEAR(TODAY()),BLANK())</f>
        <v>#NAME?</v>
      </c>
      <c r="AN748" t="str" cm="1">
        <f t="array" ref="AN748" xml:space="preserve"> _xlfn.IFS(A748&lt;25,"&lt;25",
A748&lt;=35,"25-35",
A748&lt;=45,"36-45",
TRUE,"45+"
)</f>
        <v>36-45</v>
      </c>
      <c r="AO748" t="str" cm="1">
        <f t="array" ref="AO748">_xlfn.IFS(S748&lt;5000,"Low",
S748&lt;=15000,"Medium",
TRUE,"High")</f>
        <v>High</v>
      </c>
    </row>
    <row r="749" spans="1:41" hidden="1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 t="str">
        <f t="shared" si="33"/>
        <v>Active</v>
      </c>
      <c r="AK749">
        <f t="shared" ca="1" si="34"/>
        <v>2006</v>
      </c>
      <c r="AL749">
        <f t="shared" si="35"/>
        <v>0</v>
      </c>
      <c r="AM749" t="e" cm="1">
        <f t="array" aca="1" ref="AM749" ca="1">IF(B749="Yes",YEAR(TODAY()),BLANK())</f>
        <v>#NAME?</v>
      </c>
      <c r="AN749" t="str" cm="1">
        <f t="array" ref="AN749" xml:space="preserve"> _xlfn.IFS(A749&lt;25,"&lt;25",
A749&lt;=35,"25-35",
A749&lt;=45,"36-45",
TRUE,"45+"
)</f>
        <v>36-45</v>
      </c>
      <c r="AO749" t="str" cm="1">
        <f t="array" ref="AO749">_xlfn.IFS(S749&lt;5000,"Low",
S749&lt;=15000,"Medium",
TRUE,"High")</f>
        <v>Medium</v>
      </c>
    </row>
    <row r="750" spans="1:41" hidden="1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 t="str">
        <f t="shared" si="33"/>
        <v>Resigned</v>
      </c>
      <c r="AK750">
        <f t="shared" ca="1" si="34"/>
        <v>2018</v>
      </c>
      <c r="AL750">
        <f t="shared" si="35"/>
        <v>1</v>
      </c>
      <c r="AM750" cm="1">
        <f t="array" aca="1" ref="AM750" ca="1">IF(B750="Yes",YEAR(TODAY()),BLANK())</f>
        <v>2025</v>
      </c>
      <c r="AN750" t="str" cm="1">
        <f t="array" ref="AN750" xml:space="preserve"> _xlfn.IFS(A750&lt;25,"&lt;25",
A750&lt;=35,"25-35",
A750&lt;=45,"36-45",
TRUE,"45+"
)</f>
        <v>25-35</v>
      </c>
      <c r="AO750" t="str" cm="1">
        <f t="array" ref="AO750">_xlfn.IFS(S750&lt;5000,"Low",
S750&lt;=15000,"Medium",
TRUE,"High")</f>
        <v>Low</v>
      </c>
    </row>
    <row r="751" spans="1:41" hidden="1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 t="str">
        <f t="shared" si="33"/>
        <v>Resigned</v>
      </c>
      <c r="AK751">
        <f t="shared" ca="1" si="34"/>
        <v>1992</v>
      </c>
      <c r="AL751">
        <f t="shared" si="35"/>
        <v>1</v>
      </c>
      <c r="AM751" cm="1">
        <f t="array" aca="1" ref="AM751" ca="1">IF(B751="Yes",YEAR(TODAY()),BLANK())</f>
        <v>2025</v>
      </c>
      <c r="AN751" t="str" cm="1">
        <f t="array" ref="AN751" xml:space="preserve"> _xlfn.IFS(A751&lt;25,"&lt;25",
A751&lt;=35,"25-35",
A751&lt;=45,"36-45",
TRUE,"45+"
)</f>
        <v>45+</v>
      </c>
      <c r="AO751" t="str" cm="1">
        <f t="array" ref="AO751">_xlfn.IFS(S751&lt;5000,"Low",
S751&lt;=15000,"Medium",
TRUE,"High")</f>
        <v>High</v>
      </c>
    </row>
    <row r="752" spans="1:41" hidden="1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 t="str">
        <f t="shared" si="33"/>
        <v>Active</v>
      </c>
      <c r="AK752">
        <f t="shared" ca="1" si="34"/>
        <v>2002</v>
      </c>
      <c r="AL752">
        <f t="shared" si="35"/>
        <v>0</v>
      </c>
      <c r="AM752" t="e" cm="1">
        <f t="array" aca="1" ref="AM752" ca="1">IF(B752="Yes",YEAR(TODAY()),BLANK())</f>
        <v>#NAME?</v>
      </c>
      <c r="AN752" t="str" cm="1">
        <f t="array" ref="AN752" xml:space="preserve"> _xlfn.IFS(A752&lt;25,"&lt;25",
A752&lt;=35,"25-35",
A752&lt;=45,"36-45",
TRUE,"45+"
)</f>
        <v>36-45</v>
      </c>
      <c r="AO752" t="str" cm="1">
        <f t="array" ref="AO752">_xlfn.IFS(S752&lt;5000,"Low",
S752&lt;=15000,"Medium",
TRUE,"High")</f>
        <v>Medium</v>
      </c>
    </row>
    <row r="753" spans="1:41" hidden="1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 t="str">
        <f t="shared" si="33"/>
        <v>Active</v>
      </c>
      <c r="AK753">
        <f t="shared" ca="1" si="34"/>
        <v>2006</v>
      </c>
      <c r="AL753">
        <f t="shared" si="35"/>
        <v>0</v>
      </c>
      <c r="AM753" t="e" cm="1">
        <f t="array" aca="1" ref="AM753" ca="1">IF(B753="Yes",YEAR(TODAY()),BLANK())</f>
        <v>#NAME?</v>
      </c>
      <c r="AN753" t="str" cm="1">
        <f t="array" ref="AN753" xml:space="preserve"> _xlfn.IFS(A753&lt;25,"&lt;25",
A753&lt;=35,"25-35",
A753&lt;=45,"36-45",
TRUE,"45+"
)</f>
        <v>45+</v>
      </c>
      <c r="AO753" t="str" cm="1">
        <f t="array" ref="AO753">_xlfn.IFS(S753&lt;5000,"Low",
S753&lt;=15000,"Medium",
TRUE,"High")</f>
        <v>Medium</v>
      </c>
    </row>
    <row r="754" spans="1:41" hidden="1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 t="str">
        <f t="shared" si="33"/>
        <v>Resigned</v>
      </c>
      <c r="AK754">
        <f t="shared" ca="1" si="34"/>
        <v>2007</v>
      </c>
      <c r="AL754">
        <f t="shared" si="35"/>
        <v>1</v>
      </c>
      <c r="AM754" cm="1">
        <f t="array" aca="1" ref="AM754" ca="1">IF(B754="Yes",YEAR(TODAY()),BLANK())</f>
        <v>2025</v>
      </c>
      <c r="AN754" t="str" cm="1">
        <f t="array" ref="AN754" xml:space="preserve"> _xlfn.IFS(A754&lt;25,"&lt;25",
A754&lt;=35,"25-35",
A754&lt;=45,"36-45",
TRUE,"45+"
)</f>
        <v>36-45</v>
      </c>
      <c r="AO754" t="str" cm="1">
        <f t="array" ref="AO754">_xlfn.IFS(S754&lt;5000,"Low",
S754&lt;=15000,"Medium",
TRUE,"High")</f>
        <v>Low</v>
      </c>
    </row>
    <row r="755" spans="1:41" hidden="1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 t="str">
        <f t="shared" si="33"/>
        <v>Active</v>
      </c>
      <c r="AK755">
        <f t="shared" ca="1" si="34"/>
        <v>2004</v>
      </c>
      <c r="AL755">
        <f t="shared" si="35"/>
        <v>0</v>
      </c>
      <c r="AM755" t="e" cm="1">
        <f t="array" aca="1" ref="AM755" ca="1">IF(B755="Yes",YEAR(TODAY()),BLANK())</f>
        <v>#NAME?</v>
      </c>
      <c r="AN755" t="str" cm="1">
        <f t="array" ref="AN755" xml:space="preserve"> _xlfn.IFS(A755&lt;25,"&lt;25",
A755&lt;=35,"25-35",
A755&lt;=45,"36-45",
TRUE,"45+"
)</f>
        <v>36-45</v>
      </c>
      <c r="AO755" t="str" cm="1">
        <f t="array" ref="AO755">_xlfn.IFS(S755&lt;5000,"Low",
S755&lt;=15000,"Medium",
TRUE,"High")</f>
        <v>Medium</v>
      </c>
    </row>
    <row r="756" spans="1:41" hidden="1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 t="str">
        <f t="shared" si="33"/>
        <v>Active</v>
      </c>
      <c r="AK756">
        <f t="shared" ca="1" si="34"/>
        <v>2022</v>
      </c>
      <c r="AL756">
        <f t="shared" si="35"/>
        <v>0</v>
      </c>
      <c r="AM756" t="e" cm="1">
        <f t="array" aca="1" ref="AM756" ca="1">IF(B756="Yes",YEAR(TODAY()),BLANK())</f>
        <v>#NAME?</v>
      </c>
      <c r="AN756" t="str" cm="1">
        <f t="array" ref="AN756" xml:space="preserve"> _xlfn.IFS(A756&lt;25,"&lt;25",
A756&lt;=35,"25-35",
A756&lt;=45,"36-45",
TRUE,"45+"
)</f>
        <v>25-35</v>
      </c>
      <c r="AO756" t="str" cm="1">
        <f t="array" ref="AO756">_xlfn.IFS(S756&lt;5000,"Low",
S756&lt;=15000,"Medium",
TRUE,"High")</f>
        <v>Low</v>
      </c>
    </row>
    <row r="757" spans="1:41" hidden="1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 t="str">
        <f t="shared" si="33"/>
        <v>Active</v>
      </c>
      <c r="AK757">
        <f t="shared" ca="1" si="34"/>
        <v>1999</v>
      </c>
      <c r="AL757">
        <f t="shared" si="35"/>
        <v>0</v>
      </c>
      <c r="AM757" t="e" cm="1">
        <f t="array" aca="1" ref="AM757" ca="1">IF(B757="Yes",YEAR(TODAY()),BLANK())</f>
        <v>#NAME?</v>
      </c>
      <c r="AN757" t="str" cm="1">
        <f t="array" ref="AN757" xml:space="preserve"> _xlfn.IFS(A757&lt;25,"&lt;25",
A757&lt;=35,"25-35",
A757&lt;=45,"36-45",
TRUE,"45+"
)</f>
        <v>36-45</v>
      </c>
      <c r="AO757" t="str" cm="1">
        <f t="array" ref="AO757">_xlfn.IFS(S757&lt;5000,"Low",
S757&lt;=15000,"Medium",
TRUE,"High")</f>
        <v>High</v>
      </c>
    </row>
    <row r="758" spans="1:41" hidden="1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 t="str">
        <f t="shared" si="33"/>
        <v>Active</v>
      </c>
      <c r="AK758">
        <f t="shared" ca="1" si="34"/>
        <v>2015</v>
      </c>
      <c r="AL758">
        <f t="shared" si="35"/>
        <v>0</v>
      </c>
      <c r="AM758" t="e" cm="1">
        <f t="array" aca="1" ref="AM758" ca="1">IF(B758="Yes",YEAR(TODAY()),BLANK())</f>
        <v>#NAME?</v>
      </c>
      <c r="AN758" t="str" cm="1">
        <f t="array" ref="AN758" xml:space="preserve"> _xlfn.IFS(A758&lt;25,"&lt;25",
A758&lt;=35,"25-35",
A758&lt;=45,"36-45",
TRUE,"45+"
)</f>
        <v>25-35</v>
      </c>
      <c r="AO758" t="str" cm="1">
        <f t="array" ref="AO758">_xlfn.IFS(S758&lt;5000,"Low",
S758&lt;=15000,"Medium",
TRUE,"High")</f>
        <v>Low</v>
      </c>
    </row>
    <row r="759" spans="1:41" hidden="1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 t="str">
        <f t="shared" si="33"/>
        <v>Active</v>
      </c>
      <c r="AK759">
        <f t="shared" ca="1" si="34"/>
        <v>2009</v>
      </c>
      <c r="AL759">
        <f t="shared" si="35"/>
        <v>0</v>
      </c>
      <c r="AM759" t="e" cm="1">
        <f t="array" aca="1" ref="AM759" ca="1">IF(B759="Yes",YEAR(TODAY()),BLANK())</f>
        <v>#NAME?</v>
      </c>
      <c r="AN759" t="str" cm="1">
        <f t="array" ref="AN759" xml:space="preserve"> _xlfn.IFS(A759&lt;25,"&lt;25",
A759&lt;=35,"25-35",
A759&lt;=45,"36-45",
TRUE,"45+"
)</f>
        <v>25-35</v>
      </c>
      <c r="AO759" t="str" cm="1">
        <f t="array" ref="AO759">_xlfn.IFS(S759&lt;5000,"Low",
S759&lt;=15000,"Medium",
TRUE,"High")</f>
        <v>Medium</v>
      </c>
    </row>
    <row r="760" spans="1:41" hidden="1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 t="str">
        <f t="shared" si="33"/>
        <v>Active</v>
      </c>
      <c r="AK760">
        <f t="shared" ca="1" si="34"/>
        <v>2011</v>
      </c>
      <c r="AL760">
        <f t="shared" si="35"/>
        <v>0</v>
      </c>
      <c r="AM760" t="e" cm="1">
        <f t="array" aca="1" ref="AM760" ca="1">IF(B760="Yes",YEAR(TODAY()),BLANK())</f>
        <v>#NAME?</v>
      </c>
      <c r="AN760" t="str" cm="1">
        <f t="array" ref="AN760" xml:space="preserve"> _xlfn.IFS(A760&lt;25,"&lt;25",
A760&lt;=35,"25-35",
A760&lt;=45,"36-45",
TRUE,"45+"
)</f>
        <v>45+</v>
      </c>
      <c r="AO760" t="str" cm="1">
        <f t="array" ref="AO760">_xlfn.IFS(S760&lt;5000,"Low",
S760&lt;=15000,"Medium",
TRUE,"High")</f>
        <v>Medium</v>
      </c>
    </row>
    <row r="761" spans="1:41" hidden="1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 t="str">
        <f t="shared" si="33"/>
        <v>Active</v>
      </c>
      <c r="AK761">
        <f t="shared" ca="1" si="34"/>
        <v>2019</v>
      </c>
      <c r="AL761">
        <f t="shared" si="35"/>
        <v>0</v>
      </c>
      <c r="AM761" t="e" cm="1">
        <f t="array" aca="1" ref="AM761" ca="1">IF(B761="Yes",YEAR(TODAY()),BLANK())</f>
        <v>#NAME?</v>
      </c>
      <c r="AN761" t="str" cm="1">
        <f t="array" ref="AN761" xml:space="preserve"> _xlfn.IFS(A761&lt;25,"&lt;25",
A761&lt;=35,"25-35",
A761&lt;=45,"36-45",
TRUE,"45+"
)</f>
        <v>36-45</v>
      </c>
      <c r="AO761" t="str" cm="1">
        <f t="array" ref="AO761">_xlfn.IFS(S761&lt;5000,"Low",
S761&lt;=15000,"Medium",
TRUE,"High")</f>
        <v>Low</v>
      </c>
    </row>
    <row r="762" spans="1:41" hidden="1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 t="str">
        <f t="shared" si="33"/>
        <v>Active</v>
      </c>
      <c r="AK762">
        <f t="shared" ca="1" si="34"/>
        <v>1995</v>
      </c>
      <c r="AL762">
        <f t="shared" si="35"/>
        <v>0</v>
      </c>
      <c r="AM762" t="e" cm="1">
        <f t="array" aca="1" ref="AM762" ca="1">IF(B762="Yes",YEAR(TODAY()),BLANK())</f>
        <v>#NAME?</v>
      </c>
      <c r="AN762" t="str" cm="1">
        <f t="array" ref="AN762" xml:space="preserve"> _xlfn.IFS(A762&lt;25,"&lt;25",
A762&lt;=35,"25-35",
A762&lt;=45,"36-45",
TRUE,"45+"
)</f>
        <v>45+</v>
      </c>
      <c r="AO762" t="str" cm="1">
        <f t="array" ref="AO762">_xlfn.IFS(S762&lt;5000,"Low",
S762&lt;=15000,"Medium",
TRUE,"High")</f>
        <v>Medium</v>
      </c>
    </row>
    <row r="763" spans="1:41" hidden="1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 t="str">
        <f t="shared" si="33"/>
        <v>Resigned</v>
      </c>
      <c r="AK763">
        <f t="shared" ca="1" si="34"/>
        <v>2016</v>
      </c>
      <c r="AL763">
        <f t="shared" si="35"/>
        <v>1</v>
      </c>
      <c r="AM763" cm="1">
        <f t="array" aca="1" ref="AM763" ca="1">IF(B763="Yes",YEAR(TODAY()),BLANK())</f>
        <v>2025</v>
      </c>
      <c r="AN763" t="str" cm="1">
        <f t="array" ref="AN763" xml:space="preserve"> _xlfn.IFS(A763&lt;25,"&lt;25",
A763&lt;=35,"25-35",
A763&lt;=45,"36-45",
TRUE,"45+"
)</f>
        <v>36-45</v>
      </c>
      <c r="AO763" t="str" cm="1">
        <f t="array" ref="AO763">_xlfn.IFS(S763&lt;5000,"Low",
S763&lt;=15000,"Medium",
TRUE,"High")</f>
        <v>Low</v>
      </c>
    </row>
    <row r="764" spans="1:41" hidden="1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 t="str">
        <f t="shared" si="33"/>
        <v>Resigned</v>
      </c>
      <c r="AK764">
        <f t="shared" ca="1" si="34"/>
        <v>2019</v>
      </c>
      <c r="AL764">
        <f t="shared" si="35"/>
        <v>1</v>
      </c>
      <c r="AM764" cm="1">
        <f t="array" aca="1" ref="AM764" ca="1">IF(B764="Yes",YEAR(TODAY()),BLANK())</f>
        <v>2025</v>
      </c>
      <c r="AN764" t="str" cm="1">
        <f t="array" ref="AN764" xml:space="preserve"> _xlfn.IFS(A764&lt;25,"&lt;25",
A764&lt;=35,"25-35",
A764&lt;=45,"36-45",
TRUE,"45+"
)</f>
        <v>25-35</v>
      </c>
      <c r="AO764" t="str" cm="1">
        <f t="array" ref="AO764">_xlfn.IFS(S764&lt;5000,"Low",
S764&lt;=15000,"Medium",
TRUE,"High")</f>
        <v>Low</v>
      </c>
    </row>
    <row r="765" spans="1:41" hidden="1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 t="str">
        <f t="shared" si="33"/>
        <v>Active</v>
      </c>
      <c r="AK765">
        <f t="shared" ca="1" si="34"/>
        <v>2024</v>
      </c>
      <c r="AL765">
        <f t="shared" si="35"/>
        <v>0</v>
      </c>
      <c r="AM765" t="e" cm="1">
        <f t="array" aca="1" ref="AM765" ca="1">IF(B765="Yes",YEAR(TODAY()),BLANK())</f>
        <v>#NAME?</v>
      </c>
      <c r="AN765" t="str" cm="1">
        <f t="array" ref="AN765" xml:space="preserve"> _xlfn.IFS(A765&lt;25,"&lt;25",
A765&lt;=35,"25-35",
A765&lt;=45,"36-45",
TRUE,"45+"
)</f>
        <v>25-35</v>
      </c>
      <c r="AO765" t="str" cm="1">
        <f t="array" ref="AO765">_xlfn.IFS(S765&lt;5000,"Low",
S765&lt;=15000,"Medium",
TRUE,"High")</f>
        <v>Low</v>
      </c>
    </row>
    <row r="766" spans="1:41" hidden="1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 t="str">
        <f t="shared" si="33"/>
        <v>Active</v>
      </c>
      <c r="AK766">
        <f t="shared" ca="1" si="34"/>
        <v>2024</v>
      </c>
      <c r="AL766">
        <f t="shared" si="35"/>
        <v>0</v>
      </c>
      <c r="AM766" t="e" cm="1">
        <f t="array" aca="1" ref="AM766" ca="1">IF(B766="Yes",YEAR(TODAY()),BLANK())</f>
        <v>#NAME?</v>
      </c>
      <c r="AN766" t="str" cm="1">
        <f t="array" ref="AN766" xml:space="preserve"> _xlfn.IFS(A766&lt;25,"&lt;25",
A766&lt;=35,"25-35",
A766&lt;=45,"36-45",
TRUE,"45+"
)</f>
        <v>25-35</v>
      </c>
      <c r="AO766" t="str" cm="1">
        <f t="array" ref="AO766">_xlfn.IFS(S766&lt;5000,"Low",
S766&lt;=15000,"Medium",
TRUE,"High")</f>
        <v>Low</v>
      </c>
    </row>
    <row r="767" spans="1:41" hidden="1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 t="str">
        <f t="shared" si="33"/>
        <v>Active</v>
      </c>
      <c r="AK767">
        <f t="shared" ca="1" si="34"/>
        <v>2017</v>
      </c>
      <c r="AL767">
        <f t="shared" si="35"/>
        <v>0</v>
      </c>
      <c r="AM767" t="e" cm="1">
        <f t="array" aca="1" ref="AM767" ca="1">IF(B767="Yes",YEAR(TODAY()),BLANK())</f>
        <v>#NAME?</v>
      </c>
      <c r="AN767" t="str" cm="1">
        <f t="array" ref="AN767" xml:space="preserve"> _xlfn.IFS(A767&lt;25,"&lt;25",
A767&lt;=35,"25-35",
A767&lt;=45,"36-45",
TRUE,"45+"
)</f>
        <v>36-45</v>
      </c>
      <c r="AO767" t="str" cm="1">
        <f t="array" ref="AO767">_xlfn.IFS(S767&lt;5000,"Low",
S767&lt;=15000,"Medium",
TRUE,"High")</f>
        <v>Low</v>
      </c>
    </row>
    <row r="768" spans="1:41" hidden="1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 t="str">
        <f t="shared" si="33"/>
        <v>Active</v>
      </c>
      <c r="AK768">
        <f t="shared" ca="1" si="34"/>
        <v>1996</v>
      </c>
      <c r="AL768">
        <f t="shared" si="35"/>
        <v>0</v>
      </c>
      <c r="AM768" t="e" cm="1">
        <f t="array" aca="1" ref="AM768" ca="1">IF(B768="Yes",YEAR(TODAY()),BLANK())</f>
        <v>#NAME?</v>
      </c>
      <c r="AN768" t="str" cm="1">
        <f t="array" ref="AN768" xml:space="preserve"> _xlfn.IFS(A768&lt;25,"&lt;25",
A768&lt;=35,"25-35",
A768&lt;=45,"36-45",
TRUE,"45+"
)</f>
        <v>45+</v>
      </c>
      <c r="AO768" t="str" cm="1">
        <f t="array" ref="AO768">_xlfn.IFS(S768&lt;5000,"Low",
S768&lt;=15000,"Medium",
TRUE,"High")</f>
        <v>High</v>
      </c>
    </row>
    <row r="769" spans="1:41" hidden="1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 t="str">
        <f t="shared" si="33"/>
        <v>Active</v>
      </c>
      <c r="AK769">
        <f t="shared" ca="1" si="34"/>
        <v>2017</v>
      </c>
      <c r="AL769">
        <f t="shared" si="35"/>
        <v>0</v>
      </c>
      <c r="AM769" t="e" cm="1">
        <f t="array" aca="1" ref="AM769" ca="1">IF(B769="Yes",YEAR(TODAY()),BLANK())</f>
        <v>#NAME?</v>
      </c>
      <c r="AN769" t="str" cm="1">
        <f t="array" ref="AN769" xml:space="preserve"> _xlfn.IFS(A769&lt;25,"&lt;25",
A769&lt;=35,"25-35",
A769&lt;=45,"36-45",
TRUE,"45+"
)</f>
        <v>36-45</v>
      </c>
      <c r="AO769" t="str" cm="1">
        <f t="array" ref="AO769">_xlfn.IFS(S769&lt;5000,"Low",
S769&lt;=15000,"Medium",
TRUE,"High")</f>
        <v>Low</v>
      </c>
    </row>
    <row r="770" spans="1:41" hidden="1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 t="str">
        <f t="shared" si="33"/>
        <v>Active</v>
      </c>
      <c r="AK770">
        <f t="shared" ca="1" si="34"/>
        <v>2017</v>
      </c>
      <c r="AL770">
        <f t="shared" si="35"/>
        <v>0</v>
      </c>
      <c r="AM770" t="e" cm="1">
        <f t="array" aca="1" ref="AM770" ca="1">IF(B770="Yes",YEAR(TODAY()),BLANK())</f>
        <v>#NAME?</v>
      </c>
      <c r="AN770" t="str" cm="1">
        <f t="array" ref="AN770" xml:space="preserve"> _xlfn.IFS(A770&lt;25,"&lt;25",
A770&lt;=35,"25-35",
A770&lt;=45,"36-45",
TRUE,"45+"
)</f>
        <v>36-45</v>
      </c>
      <c r="AO770" t="str" cm="1">
        <f t="array" ref="AO770">_xlfn.IFS(S770&lt;5000,"Low",
S770&lt;=15000,"Medium",
TRUE,"High")</f>
        <v>Medium</v>
      </c>
    </row>
    <row r="771" spans="1:41" hidden="1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 t="str">
        <f t="shared" ref="AJ771:AJ834" si="36">IF(B771="Yes", "Resigned","Active")</f>
        <v>Active</v>
      </c>
      <c r="AK771">
        <f t="shared" ref="AK771:AK834" ca="1" si="37">YEAR(TODAY()) - AC771</f>
        <v>2020</v>
      </c>
      <c r="AL771">
        <f t="shared" ref="AL771:AL834" si="38">IF(B771="Yes",1,0)</f>
        <v>0</v>
      </c>
      <c r="AM771" t="e" cm="1">
        <f t="array" aca="1" ref="AM771" ca="1">IF(B771="Yes",YEAR(TODAY()),BLANK())</f>
        <v>#NAME?</v>
      </c>
      <c r="AN771" t="str" cm="1">
        <f t="array" ref="AN771" xml:space="preserve"> _xlfn.IFS(A771&lt;25,"&lt;25",
A771&lt;=35,"25-35",
A771&lt;=45,"36-45",
TRUE,"45+"
)</f>
        <v>25-35</v>
      </c>
      <c r="AO771" t="str" cm="1">
        <f t="array" ref="AO771">_xlfn.IFS(S771&lt;5000,"Low",
S771&lt;=15000,"Medium",
TRUE,"High")</f>
        <v>Low</v>
      </c>
    </row>
    <row r="772" spans="1:41" hidden="1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 t="str">
        <f t="shared" si="36"/>
        <v>Active</v>
      </c>
      <c r="AK772">
        <f t="shared" ca="1" si="37"/>
        <v>2002</v>
      </c>
      <c r="AL772">
        <f t="shared" si="38"/>
        <v>0</v>
      </c>
      <c r="AM772" t="e" cm="1">
        <f t="array" aca="1" ref="AM772" ca="1">IF(B772="Yes",YEAR(TODAY()),BLANK())</f>
        <v>#NAME?</v>
      </c>
      <c r="AN772" t="str" cm="1">
        <f t="array" ref="AN772" xml:space="preserve"> _xlfn.IFS(A772&lt;25,"&lt;25",
A772&lt;=35,"25-35",
A772&lt;=45,"36-45",
TRUE,"45+"
)</f>
        <v>45+</v>
      </c>
      <c r="AO772" t="str" cm="1">
        <f t="array" ref="AO772">_xlfn.IFS(S772&lt;5000,"Low",
S772&lt;=15000,"Medium",
TRUE,"High")</f>
        <v>High</v>
      </c>
    </row>
    <row r="773" spans="1:41" hidden="1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 t="str">
        <f t="shared" si="36"/>
        <v>Active</v>
      </c>
      <c r="AK773">
        <f t="shared" ca="1" si="37"/>
        <v>2012</v>
      </c>
      <c r="AL773">
        <f t="shared" si="38"/>
        <v>0</v>
      </c>
      <c r="AM773" t="e" cm="1">
        <f t="array" aca="1" ref="AM773" ca="1">IF(B773="Yes",YEAR(TODAY()),BLANK())</f>
        <v>#NAME?</v>
      </c>
      <c r="AN773" t="str" cm="1">
        <f t="array" ref="AN773" xml:space="preserve"> _xlfn.IFS(A773&lt;25,"&lt;25",
A773&lt;=35,"25-35",
A773&lt;=45,"36-45",
TRUE,"45+"
)</f>
        <v>45+</v>
      </c>
      <c r="AO773" t="str" cm="1">
        <f t="array" ref="AO773">_xlfn.IFS(S773&lt;5000,"Low",
S773&lt;=15000,"Medium",
TRUE,"High")</f>
        <v>Medium</v>
      </c>
    </row>
    <row r="774" spans="1:41" hidden="1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 t="str">
        <f t="shared" si="36"/>
        <v>Active</v>
      </c>
      <c r="AK774">
        <f t="shared" ca="1" si="37"/>
        <v>2007</v>
      </c>
      <c r="AL774">
        <f t="shared" si="38"/>
        <v>0</v>
      </c>
      <c r="AM774" t="e" cm="1">
        <f t="array" aca="1" ref="AM774" ca="1">IF(B774="Yes",YEAR(TODAY()),BLANK())</f>
        <v>#NAME?</v>
      </c>
      <c r="AN774" t="str" cm="1">
        <f t="array" ref="AN774" xml:space="preserve"> _xlfn.IFS(A774&lt;25,"&lt;25",
A774&lt;=35,"25-35",
A774&lt;=45,"36-45",
TRUE,"45+"
)</f>
        <v>45+</v>
      </c>
      <c r="AO774" t="str" cm="1">
        <f t="array" ref="AO774">_xlfn.IFS(S774&lt;5000,"Low",
S774&lt;=15000,"Medium",
TRUE,"High")</f>
        <v>Low</v>
      </c>
    </row>
    <row r="775" spans="1:41" hidden="1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 t="str">
        <f t="shared" si="36"/>
        <v>Active</v>
      </c>
      <c r="AK775">
        <f t="shared" ca="1" si="37"/>
        <v>2010</v>
      </c>
      <c r="AL775">
        <f t="shared" si="38"/>
        <v>0</v>
      </c>
      <c r="AM775" t="e" cm="1">
        <f t="array" aca="1" ref="AM775" ca="1">IF(B775="Yes",YEAR(TODAY()),BLANK())</f>
        <v>#NAME?</v>
      </c>
      <c r="AN775" t="str" cm="1">
        <f t="array" ref="AN775" xml:space="preserve"> _xlfn.IFS(A775&lt;25,"&lt;25",
A775&lt;=35,"25-35",
A775&lt;=45,"36-45",
TRUE,"45+"
)</f>
        <v>36-45</v>
      </c>
      <c r="AO775" t="str" cm="1">
        <f t="array" ref="AO775">_xlfn.IFS(S775&lt;5000,"Low",
S775&lt;=15000,"Medium",
TRUE,"High")</f>
        <v>Medium</v>
      </c>
    </row>
    <row r="776" spans="1:41" hidden="1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 t="str">
        <f t="shared" si="36"/>
        <v>Active</v>
      </c>
      <c r="AK776">
        <f t="shared" ca="1" si="37"/>
        <v>1994</v>
      </c>
      <c r="AL776">
        <f t="shared" si="38"/>
        <v>0</v>
      </c>
      <c r="AM776" t="e" cm="1">
        <f t="array" aca="1" ref="AM776" ca="1">IF(B776="Yes",YEAR(TODAY()),BLANK())</f>
        <v>#NAME?</v>
      </c>
      <c r="AN776" t="str" cm="1">
        <f t="array" ref="AN776" xml:space="preserve"> _xlfn.IFS(A776&lt;25,"&lt;25",
A776&lt;=35,"25-35",
A776&lt;=45,"36-45",
TRUE,"45+"
)</f>
        <v>45+</v>
      </c>
      <c r="AO776" t="str" cm="1">
        <f t="array" ref="AO776">_xlfn.IFS(S776&lt;5000,"Low",
S776&lt;=15000,"Medium",
TRUE,"High")</f>
        <v>High</v>
      </c>
    </row>
    <row r="777" spans="1:41" hidden="1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 t="str">
        <f t="shared" si="36"/>
        <v>Active</v>
      </c>
      <c r="AK777">
        <f t="shared" ca="1" si="37"/>
        <v>2007</v>
      </c>
      <c r="AL777">
        <f t="shared" si="38"/>
        <v>0</v>
      </c>
      <c r="AM777" t="e" cm="1">
        <f t="array" aca="1" ref="AM777" ca="1">IF(B777="Yes",YEAR(TODAY()),BLANK())</f>
        <v>#NAME?</v>
      </c>
      <c r="AN777" t="str" cm="1">
        <f t="array" ref="AN777" xml:space="preserve"> _xlfn.IFS(A777&lt;25,"&lt;25",
A777&lt;=35,"25-35",
A777&lt;=45,"36-45",
TRUE,"45+"
)</f>
        <v>36-45</v>
      </c>
      <c r="AO777" t="str" cm="1">
        <f t="array" ref="AO777">_xlfn.IFS(S777&lt;5000,"Low",
S777&lt;=15000,"Medium",
TRUE,"High")</f>
        <v>Medium</v>
      </c>
    </row>
    <row r="778" spans="1:41" hidden="1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 t="str">
        <f t="shared" si="36"/>
        <v>Resigned</v>
      </c>
      <c r="AK778">
        <f t="shared" ca="1" si="37"/>
        <v>2023</v>
      </c>
      <c r="AL778">
        <f t="shared" si="38"/>
        <v>1</v>
      </c>
      <c r="AM778" cm="1">
        <f t="array" aca="1" ref="AM778" ca="1">IF(B778="Yes",YEAR(TODAY()),BLANK())</f>
        <v>2025</v>
      </c>
      <c r="AN778" t="str" cm="1">
        <f t="array" ref="AN778" xml:space="preserve"> _xlfn.IFS(A778&lt;25,"&lt;25",
A778&lt;=35,"25-35",
A778&lt;=45,"36-45",
TRUE,"45+"
)</f>
        <v>&lt;25</v>
      </c>
      <c r="AO778" t="str" cm="1">
        <f t="array" ref="AO778">_xlfn.IFS(S778&lt;5000,"Low",
S778&lt;=15000,"Medium",
TRUE,"High")</f>
        <v>Low</v>
      </c>
    </row>
    <row r="779" spans="1:41" hidden="1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 t="str">
        <f t="shared" si="36"/>
        <v>Resigned</v>
      </c>
      <c r="AK779">
        <f t="shared" ca="1" si="37"/>
        <v>2024</v>
      </c>
      <c r="AL779">
        <f t="shared" si="38"/>
        <v>1</v>
      </c>
      <c r="AM779" cm="1">
        <f t="array" aca="1" ref="AM779" ca="1">IF(B779="Yes",YEAR(TODAY()),BLANK())</f>
        <v>2025</v>
      </c>
      <c r="AN779" t="str" cm="1">
        <f t="array" ref="AN779" xml:space="preserve"> _xlfn.IFS(A779&lt;25,"&lt;25",
A779&lt;=35,"25-35",
A779&lt;=45,"36-45",
TRUE,"45+"
)</f>
        <v>&lt;25</v>
      </c>
      <c r="AO779" t="str" cm="1">
        <f t="array" ref="AO779">_xlfn.IFS(S779&lt;5000,"Low",
S779&lt;=15000,"Medium",
TRUE,"High")</f>
        <v>Low</v>
      </c>
    </row>
    <row r="780" spans="1:41" hidden="1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 t="str">
        <f t="shared" si="36"/>
        <v>Active</v>
      </c>
      <c r="AK780">
        <f t="shared" ca="1" si="37"/>
        <v>2006</v>
      </c>
      <c r="AL780">
        <f t="shared" si="38"/>
        <v>0</v>
      </c>
      <c r="AM780" t="e" cm="1">
        <f t="array" aca="1" ref="AM780" ca="1">IF(B780="Yes",YEAR(TODAY()),BLANK())</f>
        <v>#NAME?</v>
      </c>
      <c r="AN780" t="str" cm="1">
        <f t="array" ref="AN780" xml:space="preserve"> _xlfn.IFS(A780&lt;25,"&lt;25",
A780&lt;=35,"25-35",
A780&lt;=45,"36-45",
TRUE,"45+"
)</f>
        <v>45+</v>
      </c>
      <c r="AO780" t="str" cm="1">
        <f t="array" ref="AO780">_xlfn.IFS(S780&lt;5000,"Low",
S780&lt;=15000,"Medium",
TRUE,"High")</f>
        <v>Low</v>
      </c>
    </row>
    <row r="781" spans="1:41" hidden="1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 t="str">
        <f t="shared" si="36"/>
        <v>Resigned</v>
      </c>
      <c r="AK781">
        <f t="shared" ca="1" si="37"/>
        <v>2007</v>
      </c>
      <c r="AL781">
        <f t="shared" si="38"/>
        <v>1</v>
      </c>
      <c r="AM781" cm="1">
        <f t="array" aca="1" ref="AM781" ca="1">IF(B781="Yes",YEAR(TODAY()),BLANK())</f>
        <v>2025</v>
      </c>
      <c r="AN781" t="str" cm="1">
        <f t="array" ref="AN781" xml:space="preserve"> _xlfn.IFS(A781&lt;25,"&lt;25",
A781&lt;=35,"25-35",
A781&lt;=45,"36-45",
TRUE,"45+"
)</f>
        <v>45+</v>
      </c>
      <c r="AO781" t="str" cm="1">
        <f t="array" ref="AO781">_xlfn.IFS(S781&lt;5000,"Low",
S781&lt;=15000,"Medium",
TRUE,"High")</f>
        <v>Low</v>
      </c>
    </row>
    <row r="782" spans="1:41" hidden="1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 t="str">
        <f t="shared" si="36"/>
        <v>Resigned</v>
      </c>
      <c r="AK782">
        <f t="shared" ca="1" si="37"/>
        <v>2015</v>
      </c>
      <c r="AL782">
        <f t="shared" si="38"/>
        <v>1</v>
      </c>
      <c r="AM782" cm="1">
        <f t="array" aca="1" ref="AM782" ca="1">IF(B782="Yes",YEAR(TODAY()),BLANK())</f>
        <v>2025</v>
      </c>
      <c r="AN782" t="str" cm="1">
        <f t="array" ref="AN782" xml:space="preserve"> _xlfn.IFS(A782&lt;25,"&lt;25",
A782&lt;=35,"25-35",
A782&lt;=45,"36-45",
TRUE,"45+"
)</f>
        <v>25-35</v>
      </c>
      <c r="AO782" t="str" cm="1">
        <f t="array" ref="AO782">_xlfn.IFS(S782&lt;5000,"Low",
S782&lt;=15000,"Medium",
TRUE,"High")</f>
        <v>Medium</v>
      </c>
    </row>
    <row r="783" spans="1:41" hidden="1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 t="str">
        <f t="shared" si="36"/>
        <v>Active</v>
      </c>
      <c r="AK783">
        <f t="shared" ca="1" si="37"/>
        <v>2019</v>
      </c>
      <c r="AL783">
        <f t="shared" si="38"/>
        <v>0</v>
      </c>
      <c r="AM783" t="e" cm="1">
        <f t="array" aca="1" ref="AM783" ca="1">IF(B783="Yes",YEAR(TODAY()),BLANK())</f>
        <v>#NAME?</v>
      </c>
      <c r="AN783" t="str" cm="1">
        <f t="array" ref="AN783" xml:space="preserve"> _xlfn.IFS(A783&lt;25,"&lt;25",
A783&lt;=35,"25-35",
A783&lt;=45,"36-45",
TRUE,"45+"
)</f>
        <v>25-35</v>
      </c>
      <c r="AO783" t="str" cm="1">
        <f t="array" ref="AO783">_xlfn.IFS(S783&lt;5000,"Low",
S783&lt;=15000,"Medium",
TRUE,"High")</f>
        <v>Low</v>
      </c>
    </row>
    <row r="784" spans="1:41" hidden="1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 t="str">
        <f t="shared" si="36"/>
        <v>Active</v>
      </c>
      <c r="AK784">
        <f t="shared" ca="1" si="37"/>
        <v>2018</v>
      </c>
      <c r="AL784">
        <f t="shared" si="38"/>
        <v>0</v>
      </c>
      <c r="AM784" t="e" cm="1">
        <f t="array" aca="1" ref="AM784" ca="1">IF(B784="Yes",YEAR(TODAY()),BLANK())</f>
        <v>#NAME?</v>
      </c>
      <c r="AN784" t="str" cm="1">
        <f t="array" ref="AN784" xml:space="preserve"> _xlfn.IFS(A784&lt;25,"&lt;25",
A784&lt;=35,"25-35",
A784&lt;=45,"36-45",
TRUE,"45+"
)</f>
        <v>25-35</v>
      </c>
      <c r="AO784" t="str" cm="1">
        <f t="array" ref="AO784">_xlfn.IFS(S784&lt;5000,"Low",
S784&lt;=15000,"Medium",
TRUE,"High")</f>
        <v>Medium</v>
      </c>
    </row>
    <row r="785" spans="1:41" hidden="1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 t="str">
        <f t="shared" si="36"/>
        <v>Active</v>
      </c>
      <c r="AK785">
        <f t="shared" ca="1" si="37"/>
        <v>2015</v>
      </c>
      <c r="AL785">
        <f t="shared" si="38"/>
        <v>0</v>
      </c>
      <c r="AM785" t="e" cm="1">
        <f t="array" aca="1" ref="AM785" ca="1">IF(B785="Yes",YEAR(TODAY()),BLANK())</f>
        <v>#NAME?</v>
      </c>
      <c r="AN785" t="str" cm="1">
        <f t="array" ref="AN785" xml:space="preserve"> _xlfn.IFS(A785&lt;25,"&lt;25",
A785&lt;=35,"25-35",
A785&lt;=45,"36-45",
TRUE,"45+"
)</f>
        <v>36-45</v>
      </c>
      <c r="AO785" t="str" cm="1">
        <f t="array" ref="AO785">_xlfn.IFS(S785&lt;5000,"Low",
S785&lt;=15000,"Medium",
TRUE,"High")</f>
        <v>Low</v>
      </c>
    </row>
    <row r="786" spans="1:41" hidden="1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 t="str">
        <f t="shared" si="36"/>
        <v>Active</v>
      </c>
      <c r="AK786">
        <f t="shared" ca="1" si="37"/>
        <v>2005</v>
      </c>
      <c r="AL786">
        <f t="shared" si="38"/>
        <v>0</v>
      </c>
      <c r="AM786" t="e" cm="1">
        <f t="array" aca="1" ref="AM786" ca="1">IF(B786="Yes",YEAR(TODAY()),BLANK())</f>
        <v>#NAME?</v>
      </c>
      <c r="AN786" t="str" cm="1">
        <f t="array" ref="AN786" xml:space="preserve"> _xlfn.IFS(A786&lt;25,"&lt;25",
A786&lt;=35,"25-35",
A786&lt;=45,"36-45",
TRUE,"45+"
)</f>
        <v>36-45</v>
      </c>
      <c r="AO786" t="str" cm="1">
        <f t="array" ref="AO786">_xlfn.IFS(S786&lt;5000,"Low",
S786&lt;=15000,"Medium",
TRUE,"High")</f>
        <v>Medium</v>
      </c>
    </row>
    <row r="787" spans="1:41" hidden="1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 t="str">
        <f t="shared" si="36"/>
        <v>Active</v>
      </c>
      <c r="AK787">
        <f t="shared" ca="1" si="37"/>
        <v>2011</v>
      </c>
      <c r="AL787">
        <f t="shared" si="38"/>
        <v>0</v>
      </c>
      <c r="AM787" t="e" cm="1">
        <f t="array" aca="1" ref="AM787" ca="1">IF(B787="Yes",YEAR(TODAY()),BLANK())</f>
        <v>#NAME?</v>
      </c>
      <c r="AN787" t="str" cm="1">
        <f t="array" ref="AN787" xml:space="preserve"> _xlfn.IFS(A787&lt;25,"&lt;25",
A787&lt;=35,"25-35",
A787&lt;=45,"36-45",
TRUE,"45+"
)</f>
        <v>36-45</v>
      </c>
      <c r="AO787" t="str" cm="1">
        <f t="array" ref="AO787">_xlfn.IFS(S787&lt;5000,"Low",
S787&lt;=15000,"Medium",
TRUE,"High")</f>
        <v>Medium</v>
      </c>
    </row>
    <row r="788" spans="1:41" hidden="1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 t="str">
        <f t="shared" si="36"/>
        <v>Active</v>
      </c>
      <c r="AK788">
        <f t="shared" ca="1" si="37"/>
        <v>2022</v>
      </c>
      <c r="AL788">
        <f t="shared" si="38"/>
        <v>0</v>
      </c>
      <c r="AM788" t="e" cm="1">
        <f t="array" aca="1" ref="AM788" ca="1">IF(B788="Yes",YEAR(TODAY()),BLANK())</f>
        <v>#NAME?</v>
      </c>
      <c r="AN788" t="str" cm="1">
        <f t="array" ref="AN788" xml:space="preserve"> _xlfn.IFS(A788&lt;25,"&lt;25",
A788&lt;=35,"25-35",
A788&lt;=45,"36-45",
TRUE,"45+"
)</f>
        <v>25-35</v>
      </c>
      <c r="AO788" t="str" cm="1">
        <f t="array" ref="AO788">_xlfn.IFS(S788&lt;5000,"Low",
S788&lt;=15000,"Medium",
TRUE,"High")</f>
        <v>Low</v>
      </c>
    </row>
    <row r="789" spans="1:41" hidden="1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 t="str">
        <f t="shared" si="36"/>
        <v>Active</v>
      </c>
      <c r="AK789">
        <f t="shared" ca="1" si="37"/>
        <v>2002</v>
      </c>
      <c r="AL789">
        <f t="shared" si="38"/>
        <v>0</v>
      </c>
      <c r="AM789" t="e" cm="1">
        <f t="array" aca="1" ref="AM789" ca="1">IF(B789="Yes",YEAR(TODAY()),BLANK())</f>
        <v>#NAME?</v>
      </c>
      <c r="AN789" t="str" cm="1">
        <f t="array" ref="AN789" xml:space="preserve"> _xlfn.IFS(A789&lt;25,"&lt;25",
A789&lt;=35,"25-35",
A789&lt;=45,"36-45",
TRUE,"45+"
)</f>
        <v>45+</v>
      </c>
      <c r="AO789" t="str" cm="1">
        <f t="array" ref="AO789">_xlfn.IFS(S789&lt;5000,"Low",
S789&lt;=15000,"Medium",
TRUE,"High")</f>
        <v>Medium</v>
      </c>
    </row>
    <row r="790" spans="1:41" hidden="1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 t="str">
        <f t="shared" si="36"/>
        <v>Active</v>
      </c>
      <c r="AK790">
        <f t="shared" ca="1" si="37"/>
        <v>2015</v>
      </c>
      <c r="AL790">
        <f t="shared" si="38"/>
        <v>0</v>
      </c>
      <c r="AM790" t="e" cm="1">
        <f t="array" aca="1" ref="AM790" ca="1">IF(B790="Yes",YEAR(TODAY()),BLANK())</f>
        <v>#NAME?</v>
      </c>
      <c r="AN790" t="str" cm="1">
        <f t="array" ref="AN790" xml:space="preserve"> _xlfn.IFS(A790&lt;25,"&lt;25",
A790&lt;=35,"25-35",
A790&lt;=45,"36-45",
TRUE,"45+"
)</f>
        <v>25-35</v>
      </c>
      <c r="AO790" t="str" cm="1">
        <f t="array" ref="AO790">_xlfn.IFS(S790&lt;5000,"Low",
S790&lt;=15000,"Medium",
TRUE,"High")</f>
        <v>Low</v>
      </c>
    </row>
    <row r="791" spans="1:41" hidden="1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 t="str">
        <f t="shared" si="36"/>
        <v>Resigned</v>
      </c>
      <c r="AK791">
        <f t="shared" ca="1" si="37"/>
        <v>2001</v>
      </c>
      <c r="AL791">
        <f t="shared" si="38"/>
        <v>1</v>
      </c>
      <c r="AM791" cm="1">
        <f t="array" aca="1" ref="AM791" ca="1">IF(B791="Yes",YEAR(TODAY()),BLANK())</f>
        <v>2025</v>
      </c>
      <c r="AN791" t="str" cm="1">
        <f t="array" ref="AN791" xml:space="preserve"> _xlfn.IFS(A791&lt;25,"&lt;25",
A791&lt;=35,"25-35",
A791&lt;=45,"36-45",
TRUE,"45+"
)</f>
        <v>36-45</v>
      </c>
      <c r="AO791" t="str" cm="1">
        <f t="array" ref="AO791">_xlfn.IFS(S791&lt;5000,"Low",
S791&lt;=15000,"Medium",
TRUE,"High")</f>
        <v>Medium</v>
      </c>
    </row>
    <row r="792" spans="1:41" hidden="1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 t="str">
        <f t="shared" si="36"/>
        <v>Active</v>
      </c>
      <c r="AK792">
        <f t="shared" ca="1" si="37"/>
        <v>2016</v>
      </c>
      <c r="AL792">
        <f t="shared" si="38"/>
        <v>0</v>
      </c>
      <c r="AM792" t="e" cm="1">
        <f t="array" aca="1" ref="AM792" ca="1">IF(B792="Yes",YEAR(TODAY()),BLANK())</f>
        <v>#NAME?</v>
      </c>
      <c r="AN792" t="str" cm="1">
        <f t="array" ref="AN792" xml:space="preserve"> _xlfn.IFS(A792&lt;25,"&lt;25",
A792&lt;=35,"25-35",
A792&lt;=45,"36-45",
TRUE,"45+"
)</f>
        <v>25-35</v>
      </c>
      <c r="AO792" t="str" cm="1">
        <f t="array" ref="AO792">_xlfn.IFS(S792&lt;5000,"Low",
S792&lt;=15000,"Medium",
TRUE,"High")</f>
        <v>Medium</v>
      </c>
    </row>
    <row r="793" spans="1:41" hidden="1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 t="str">
        <f t="shared" si="36"/>
        <v>Resigned</v>
      </c>
      <c r="AK793">
        <f t="shared" ca="1" si="37"/>
        <v>2016</v>
      </c>
      <c r="AL793">
        <f t="shared" si="38"/>
        <v>1</v>
      </c>
      <c r="AM793" cm="1">
        <f t="array" aca="1" ref="AM793" ca="1">IF(B793="Yes",YEAR(TODAY()),BLANK())</f>
        <v>2025</v>
      </c>
      <c r="AN793" t="str" cm="1">
        <f t="array" ref="AN793" xml:space="preserve"> _xlfn.IFS(A793&lt;25,"&lt;25",
A793&lt;=35,"25-35",
A793&lt;=45,"36-45",
TRUE,"45+"
)</f>
        <v>25-35</v>
      </c>
      <c r="AO793" t="str" cm="1">
        <f t="array" ref="AO793">_xlfn.IFS(S793&lt;5000,"Low",
S793&lt;=15000,"Medium",
TRUE,"High")</f>
        <v>Medium</v>
      </c>
    </row>
    <row r="794" spans="1:41" hidden="1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 t="str">
        <f t="shared" si="36"/>
        <v>Resigned</v>
      </c>
      <c r="AK794">
        <f t="shared" ca="1" si="37"/>
        <v>2011</v>
      </c>
      <c r="AL794">
        <f t="shared" si="38"/>
        <v>1</v>
      </c>
      <c r="AM794" cm="1">
        <f t="array" aca="1" ref="AM794" ca="1">IF(B794="Yes",YEAR(TODAY()),BLANK())</f>
        <v>2025</v>
      </c>
      <c r="AN794" t="str" cm="1">
        <f t="array" ref="AN794" xml:space="preserve"> _xlfn.IFS(A794&lt;25,"&lt;25",
A794&lt;=35,"25-35",
A794&lt;=45,"36-45",
TRUE,"45+"
)</f>
        <v>25-35</v>
      </c>
      <c r="AO794" t="str" cm="1">
        <f t="array" ref="AO794">_xlfn.IFS(S794&lt;5000,"Low",
S794&lt;=15000,"Medium",
TRUE,"High")</f>
        <v>Low</v>
      </c>
    </row>
    <row r="795" spans="1:41" hidden="1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 t="str">
        <f t="shared" si="36"/>
        <v>Active</v>
      </c>
      <c r="AK795">
        <f t="shared" ca="1" si="37"/>
        <v>2021</v>
      </c>
      <c r="AL795">
        <f t="shared" si="38"/>
        <v>0</v>
      </c>
      <c r="AM795" t="e" cm="1">
        <f t="array" aca="1" ref="AM795" ca="1">IF(B795="Yes",YEAR(TODAY()),BLANK())</f>
        <v>#NAME?</v>
      </c>
      <c r="AN795" t="str" cm="1">
        <f t="array" ref="AN795" xml:space="preserve"> _xlfn.IFS(A795&lt;25,"&lt;25",
A795&lt;=35,"25-35",
A795&lt;=45,"36-45",
TRUE,"45+"
)</f>
        <v>25-35</v>
      </c>
      <c r="AO795" t="str" cm="1">
        <f t="array" ref="AO795">_xlfn.IFS(S795&lt;5000,"Low",
S795&lt;=15000,"Medium",
TRUE,"High")</f>
        <v>Low</v>
      </c>
    </row>
    <row r="796" spans="1:41" hidden="1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 t="str">
        <f t="shared" si="36"/>
        <v>Active</v>
      </c>
      <c r="AK796">
        <f t="shared" ca="1" si="37"/>
        <v>2018</v>
      </c>
      <c r="AL796">
        <f t="shared" si="38"/>
        <v>0</v>
      </c>
      <c r="AM796" t="e" cm="1">
        <f t="array" aca="1" ref="AM796" ca="1">IF(B796="Yes",YEAR(TODAY()),BLANK())</f>
        <v>#NAME?</v>
      </c>
      <c r="AN796" t="str" cm="1">
        <f t="array" ref="AN796" xml:space="preserve"> _xlfn.IFS(A796&lt;25,"&lt;25",
A796&lt;=35,"25-35",
A796&lt;=45,"36-45",
TRUE,"45+"
)</f>
        <v>25-35</v>
      </c>
      <c r="AO796" t="str" cm="1">
        <f t="array" ref="AO796">_xlfn.IFS(S796&lt;5000,"Low",
S796&lt;=15000,"Medium",
TRUE,"High")</f>
        <v>Medium</v>
      </c>
    </row>
    <row r="797" spans="1:41" hidden="1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 t="str">
        <f t="shared" si="36"/>
        <v>Active</v>
      </c>
      <c r="AK797">
        <f t="shared" ca="1" si="37"/>
        <v>2017</v>
      </c>
      <c r="AL797">
        <f t="shared" si="38"/>
        <v>0</v>
      </c>
      <c r="AM797" t="e" cm="1">
        <f t="array" aca="1" ref="AM797" ca="1">IF(B797="Yes",YEAR(TODAY()),BLANK())</f>
        <v>#NAME?</v>
      </c>
      <c r="AN797" t="str" cm="1">
        <f t="array" ref="AN797" xml:space="preserve"> _xlfn.IFS(A797&lt;25,"&lt;25",
A797&lt;=35,"25-35",
A797&lt;=45,"36-45",
TRUE,"45+"
)</f>
        <v>36-45</v>
      </c>
      <c r="AO797" t="str" cm="1">
        <f t="array" ref="AO797">_xlfn.IFS(S797&lt;5000,"Low",
S797&lt;=15000,"Medium",
TRUE,"High")</f>
        <v>Medium</v>
      </c>
    </row>
    <row r="798" spans="1:41" hidden="1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 t="str">
        <f t="shared" si="36"/>
        <v>Resigned</v>
      </c>
      <c r="AK798">
        <f t="shared" ca="1" si="37"/>
        <v>2018</v>
      </c>
      <c r="AL798">
        <f t="shared" si="38"/>
        <v>1</v>
      </c>
      <c r="AM798" cm="1">
        <f t="array" aca="1" ref="AM798" ca="1">IF(B798="Yes",YEAR(TODAY()),BLANK())</f>
        <v>2025</v>
      </c>
      <c r="AN798" t="str" cm="1">
        <f t="array" ref="AN798" xml:space="preserve"> _xlfn.IFS(A798&lt;25,"&lt;25",
A798&lt;=35,"25-35",
A798&lt;=45,"36-45",
TRUE,"45+"
)</f>
        <v>25-35</v>
      </c>
      <c r="AO798" t="str" cm="1">
        <f t="array" ref="AO798">_xlfn.IFS(S798&lt;5000,"Low",
S798&lt;=15000,"Medium",
TRUE,"High")</f>
        <v>Low</v>
      </c>
    </row>
    <row r="799" spans="1:41" hidden="1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 t="str">
        <f t="shared" si="36"/>
        <v>Resigned</v>
      </c>
      <c r="AK799">
        <f t="shared" ca="1" si="37"/>
        <v>2024</v>
      </c>
      <c r="AL799">
        <f t="shared" si="38"/>
        <v>1</v>
      </c>
      <c r="AM799" cm="1">
        <f t="array" aca="1" ref="AM799" ca="1">IF(B799="Yes",YEAR(TODAY()),BLANK())</f>
        <v>2025</v>
      </c>
      <c r="AN799" t="str" cm="1">
        <f t="array" ref="AN799" xml:space="preserve"> _xlfn.IFS(A799&lt;25,"&lt;25",
A799&lt;=35,"25-35",
A799&lt;=45,"36-45",
TRUE,"45+"
)</f>
        <v>25-35</v>
      </c>
      <c r="AO799" t="str" cm="1">
        <f t="array" ref="AO799">_xlfn.IFS(S799&lt;5000,"Low",
S799&lt;=15000,"Medium",
TRUE,"High")</f>
        <v>Low</v>
      </c>
    </row>
    <row r="800" spans="1:41" hidden="1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 t="str">
        <f t="shared" si="36"/>
        <v>Resigned</v>
      </c>
      <c r="AK800">
        <f t="shared" ca="1" si="37"/>
        <v>2020</v>
      </c>
      <c r="AL800">
        <f t="shared" si="38"/>
        <v>1</v>
      </c>
      <c r="AM800" cm="1">
        <f t="array" aca="1" ref="AM800" ca="1">IF(B800="Yes",YEAR(TODAY()),BLANK())</f>
        <v>2025</v>
      </c>
      <c r="AN800" t="str" cm="1">
        <f t="array" ref="AN800" xml:space="preserve"> _xlfn.IFS(A800&lt;25,"&lt;25",
A800&lt;=35,"25-35",
A800&lt;=45,"36-45",
TRUE,"45+"
)</f>
        <v>25-35</v>
      </c>
      <c r="AO800" t="str" cm="1">
        <f t="array" ref="AO800">_xlfn.IFS(S800&lt;5000,"Low",
S800&lt;=15000,"Medium",
TRUE,"High")</f>
        <v>Low</v>
      </c>
    </row>
    <row r="801" spans="1:41" hidden="1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 t="str">
        <f t="shared" si="36"/>
        <v>Active</v>
      </c>
      <c r="AK801">
        <f t="shared" ca="1" si="37"/>
        <v>2002</v>
      </c>
      <c r="AL801">
        <f t="shared" si="38"/>
        <v>0</v>
      </c>
      <c r="AM801" t="e" cm="1">
        <f t="array" aca="1" ref="AM801" ca="1">IF(B801="Yes",YEAR(TODAY()),BLANK())</f>
        <v>#NAME?</v>
      </c>
      <c r="AN801" t="str" cm="1">
        <f t="array" ref="AN801" xml:space="preserve"> _xlfn.IFS(A801&lt;25,"&lt;25",
A801&lt;=35,"25-35",
A801&lt;=45,"36-45",
TRUE,"45+"
)</f>
        <v>36-45</v>
      </c>
      <c r="AO801" t="str" cm="1">
        <f t="array" ref="AO801">_xlfn.IFS(S801&lt;5000,"Low",
S801&lt;=15000,"Medium",
TRUE,"High")</f>
        <v>High</v>
      </c>
    </row>
    <row r="802" spans="1:41" hidden="1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 t="str">
        <f t="shared" si="36"/>
        <v>Resigned</v>
      </c>
      <c r="AK802">
        <f t="shared" ca="1" si="37"/>
        <v>2024</v>
      </c>
      <c r="AL802">
        <f t="shared" si="38"/>
        <v>1</v>
      </c>
      <c r="AM802" cm="1">
        <f t="array" aca="1" ref="AM802" ca="1">IF(B802="Yes",YEAR(TODAY()),BLANK())</f>
        <v>2025</v>
      </c>
      <c r="AN802" t="str" cm="1">
        <f t="array" ref="AN802" xml:space="preserve"> _xlfn.IFS(A802&lt;25,"&lt;25",
A802&lt;=35,"25-35",
A802&lt;=45,"36-45",
TRUE,"45+"
)</f>
        <v>25-35</v>
      </c>
      <c r="AO802" t="str" cm="1">
        <f t="array" ref="AO802">_xlfn.IFS(S802&lt;5000,"Low",
S802&lt;=15000,"Medium",
TRUE,"High")</f>
        <v>Low</v>
      </c>
    </row>
    <row r="803" spans="1:41" hidden="1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 t="str">
        <f t="shared" si="36"/>
        <v>Resigned</v>
      </c>
      <c r="AK803">
        <f t="shared" ca="1" si="37"/>
        <v>2020</v>
      </c>
      <c r="AL803">
        <f t="shared" si="38"/>
        <v>1</v>
      </c>
      <c r="AM803" cm="1">
        <f t="array" aca="1" ref="AM803" ca="1">IF(B803="Yes",YEAR(TODAY()),BLANK())</f>
        <v>2025</v>
      </c>
      <c r="AN803" t="str" cm="1">
        <f t="array" ref="AN803" xml:space="preserve"> _xlfn.IFS(A803&lt;25,"&lt;25",
A803&lt;=35,"25-35",
A803&lt;=45,"36-45",
TRUE,"45+"
)</f>
        <v>45+</v>
      </c>
      <c r="AO803" t="str" cm="1">
        <f t="array" ref="AO803">_xlfn.IFS(S803&lt;5000,"Low",
S803&lt;=15000,"Medium",
TRUE,"High")</f>
        <v>Low</v>
      </c>
    </row>
    <row r="804" spans="1:41" hidden="1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 t="str">
        <f t="shared" si="36"/>
        <v>Active</v>
      </c>
      <c r="AK804">
        <f t="shared" ca="1" si="37"/>
        <v>2021</v>
      </c>
      <c r="AL804">
        <f t="shared" si="38"/>
        <v>0</v>
      </c>
      <c r="AM804" t="e" cm="1">
        <f t="array" aca="1" ref="AM804" ca="1">IF(B804="Yes",YEAR(TODAY()),BLANK())</f>
        <v>#NAME?</v>
      </c>
      <c r="AN804" t="str" cm="1">
        <f t="array" ref="AN804" xml:space="preserve"> _xlfn.IFS(A804&lt;25,"&lt;25",
A804&lt;=35,"25-35",
A804&lt;=45,"36-45",
TRUE,"45+"
)</f>
        <v>25-35</v>
      </c>
      <c r="AO804" t="str" cm="1">
        <f t="array" ref="AO804">_xlfn.IFS(S804&lt;5000,"Low",
S804&lt;=15000,"Medium",
TRUE,"High")</f>
        <v>Low</v>
      </c>
    </row>
    <row r="805" spans="1:41" hidden="1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 t="str">
        <f t="shared" si="36"/>
        <v>Active</v>
      </c>
      <c r="AK805">
        <f t="shared" ca="1" si="37"/>
        <v>2019</v>
      </c>
      <c r="AL805">
        <f t="shared" si="38"/>
        <v>0</v>
      </c>
      <c r="AM805" t="e" cm="1">
        <f t="array" aca="1" ref="AM805" ca="1">IF(B805="Yes",YEAR(TODAY()),BLANK())</f>
        <v>#NAME?</v>
      </c>
      <c r="AN805" t="str" cm="1">
        <f t="array" ref="AN805" xml:space="preserve"> _xlfn.IFS(A805&lt;25,"&lt;25",
A805&lt;=35,"25-35",
A805&lt;=45,"36-45",
TRUE,"45+"
)</f>
        <v>25-35</v>
      </c>
      <c r="AO805" t="str" cm="1">
        <f t="array" ref="AO805">_xlfn.IFS(S805&lt;5000,"Low",
S805&lt;=15000,"Medium",
TRUE,"High")</f>
        <v>Low</v>
      </c>
    </row>
    <row r="806" spans="1:41" hidden="1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 t="str">
        <f t="shared" si="36"/>
        <v>Active</v>
      </c>
      <c r="AK806">
        <f t="shared" ca="1" si="37"/>
        <v>1998</v>
      </c>
      <c r="AL806">
        <f t="shared" si="38"/>
        <v>0</v>
      </c>
      <c r="AM806" t="e" cm="1">
        <f t="array" aca="1" ref="AM806" ca="1">IF(B806="Yes",YEAR(TODAY()),BLANK())</f>
        <v>#NAME?</v>
      </c>
      <c r="AN806" t="str" cm="1">
        <f t="array" ref="AN806" xml:space="preserve"> _xlfn.IFS(A806&lt;25,"&lt;25",
A806&lt;=35,"25-35",
A806&lt;=45,"36-45",
TRUE,"45+"
)</f>
        <v>45+</v>
      </c>
      <c r="AO806" t="str" cm="1">
        <f t="array" ref="AO806">_xlfn.IFS(S806&lt;5000,"Low",
S806&lt;=15000,"Medium",
TRUE,"High")</f>
        <v>High</v>
      </c>
    </row>
    <row r="807" spans="1:41" hidden="1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 t="str">
        <f t="shared" si="36"/>
        <v>Active</v>
      </c>
      <c r="AK807">
        <f t="shared" ca="1" si="37"/>
        <v>2010</v>
      </c>
      <c r="AL807">
        <f t="shared" si="38"/>
        <v>0</v>
      </c>
      <c r="AM807" t="e" cm="1">
        <f t="array" aca="1" ref="AM807" ca="1">IF(B807="Yes",YEAR(TODAY()),BLANK())</f>
        <v>#NAME?</v>
      </c>
      <c r="AN807" t="str" cm="1">
        <f t="array" ref="AN807" xml:space="preserve"> _xlfn.IFS(A807&lt;25,"&lt;25",
A807&lt;=35,"25-35",
A807&lt;=45,"36-45",
TRUE,"45+"
)</f>
        <v>36-45</v>
      </c>
      <c r="AO807" t="str" cm="1">
        <f t="array" ref="AO807">_xlfn.IFS(S807&lt;5000,"Low",
S807&lt;=15000,"Medium",
TRUE,"High")</f>
        <v>Medium</v>
      </c>
    </row>
    <row r="808" spans="1:41" hidden="1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 t="str">
        <f t="shared" si="36"/>
        <v>Active</v>
      </c>
      <c r="AK808">
        <f t="shared" ca="1" si="37"/>
        <v>2007</v>
      </c>
      <c r="AL808">
        <f t="shared" si="38"/>
        <v>0</v>
      </c>
      <c r="AM808" t="e" cm="1">
        <f t="array" aca="1" ref="AM808" ca="1">IF(B808="Yes",YEAR(TODAY()),BLANK())</f>
        <v>#NAME?</v>
      </c>
      <c r="AN808" t="str" cm="1">
        <f t="array" ref="AN808" xml:space="preserve"> _xlfn.IFS(A808&lt;25,"&lt;25",
A808&lt;=35,"25-35",
A808&lt;=45,"36-45",
TRUE,"45+"
)</f>
        <v>45+</v>
      </c>
      <c r="AO808" t="str" cm="1">
        <f t="array" ref="AO808">_xlfn.IFS(S808&lt;5000,"Low",
S808&lt;=15000,"Medium",
TRUE,"High")</f>
        <v>Medium</v>
      </c>
    </row>
    <row r="809" spans="1:41" hidden="1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 t="str">
        <f t="shared" si="36"/>
        <v>Active</v>
      </c>
      <c r="AK809">
        <f t="shared" ca="1" si="37"/>
        <v>2016</v>
      </c>
      <c r="AL809">
        <f t="shared" si="38"/>
        <v>0</v>
      </c>
      <c r="AM809" t="e" cm="1">
        <f t="array" aca="1" ref="AM809" ca="1">IF(B809="Yes",YEAR(TODAY()),BLANK())</f>
        <v>#NAME?</v>
      </c>
      <c r="AN809" t="str" cm="1">
        <f t="array" ref="AN809" xml:space="preserve"> _xlfn.IFS(A809&lt;25,"&lt;25",
A809&lt;=35,"25-35",
A809&lt;=45,"36-45",
TRUE,"45+"
)</f>
        <v>36-45</v>
      </c>
      <c r="AO809" t="str" cm="1">
        <f t="array" ref="AO809">_xlfn.IFS(S809&lt;5000,"Low",
S809&lt;=15000,"Medium",
TRUE,"High")</f>
        <v>Medium</v>
      </c>
    </row>
    <row r="810" spans="1:41" hidden="1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 t="str">
        <f t="shared" si="36"/>
        <v>Active</v>
      </c>
      <c r="AK810">
        <f t="shared" ca="1" si="37"/>
        <v>2014</v>
      </c>
      <c r="AL810">
        <f t="shared" si="38"/>
        <v>0</v>
      </c>
      <c r="AM810" t="e" cm="1">
        <f t="array" aca="1" ref="AM810" ca="1">IF(B810="Yes",YEAR(TODAY()),BLANK())</f>
        <v>#NAME?</v>
      </c>
      <c r="AN810" t="str" cm="1">
        <f t="array" ref="AN810" xml:space="preserve"> _xlfn.IFS(A810&lt;25,"&lt;25",
A810&lt;=35,"25-35",
A810&lt;=45,"36-45",
TRUE,"45+"
)</f>
        <v>25-35</v>
      </c>
      <c r="AO810" t="str" cm="1">
        <f t="array" ref="AO810">_xlfn.IFS(S810&lt;5000,"Low",
S810&lt;=15000,"Medium",
TRUE,"High")</f>
        <v>Low</v>
      </c>
    </row>
    <row r="811" spans="1:41" hidden="1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 t="str">
        <f t="shared" si="36"/>
        <v>Active</v>
      </c>
      <c r="AK811">
        <f t="shared" ca="1" si="37"/>
        <v>2015</v>
      </c>
      <c r="AL811">
        <f t="shared" si="38"/>
        <v>0</v>
      </c>
      <c r="AM811" t="e" cm="1">
        <f t="array" aca="1" ref="AM811" ca="1">IF(B811="Yes",YEAR(TODAY()),BLANK())</f>
        <v>#NAME?</v>
      </c>
      <c r="AN811" t="str" cm="1">
        <f t="array" ref="AN811" xml:space="preserve"> _xlfn.IFS(A811&lt;25,"&lt;25",
A811&lt;=35,"25-35",
A811&lt;=45,"36-45",
TRUE,"45+"
)</f>
        <v>25-35</v>
      </c>
      <c r="AO811" t="str" cm="1">
        <f t="array" ref="AO811">_xlfn.IFS(S811&lt;5000,"Low",
S811&lt;=15000,"Medium",
TRUE,"High")</f>
        <v>Medium</v>
      </c>
    </row>
    <row r="812" spans="1:41" hidden="1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 t="str">
        <f t="shared" si="36"/>
        <v>Active</v>
      </c>
      <c r="AK812">
        <f t="shared" ca="1" si="37"/>
        <v>2002</v>
      </c>
      <c r="AL812">
        <f t="shared" si="38"/>
        <v>0</v>
      </c>
      <c r="AM812" t="e" cm="1">
        <f t="array" aca="1" ref="AM812" ca="1">IF(B812="Yes",YEAR(TODAY()),BLANK())</f>
        <v>#NAME?</v>
      </c>
      <c r="AN812" t="str" cm="1">
        <f t="array" ref="AN812" xml:space="preserve"> _xlfn.IFS(A812&lt;25,"&lt;25",
A812&lt;=35,"25-35",
A812&lt;=45,"36-45",
TRUE,"45+"
)</f>
        <v>45+</v>
      </c>
      <c r="AO812" t="str" cm="1">
        <f t="array" ref="AO812">_xlfn.IFS(S812&lt;5000,"Low",
S812&lt;=15000,"Medium",
TRUE,"High")</f>
        <v>High</v>
      </c>
    </row>
    <row r="813" spans="1:41" hidden="1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 t="str">
        <f t="shared" si="36"/>
        <v>Active</v>
      </c>
      <c r="AK813">
        <f t="shared" ca="1" si="37"/>
        <v>2015</v>
      </c>
      <c r="AL813">
        <f t="shared" si="38"/>
        <v>0</v>
      </c>
      <c r="AM813" t="e" cm="1">
        <f t="array" aca="1" ref="AM813" ca="1">IF(B813="Yes",YEAR(TODAY()),BLANK())</f>
        <v>#NAME?</v>
      </c>
      <c r="AN813" t="str" cm="1">
        <f t="array" ref="AN813" xml:space="preserve"> _xlfn.IFS(A813&lt;25,"&lt;25",
A813&lt;=35,"25-35",
A813&lt;=45,"36-45",
TRUE,"45+"
)</f>
        <v>36-45</v>
      </c>
      <c r="AO813" t="str" cm="1">
        <f t="array" ref="AO813">_xlfn.IFS(S813&lt;5000,"Low",
S813&lt;=15000,"Medium",
TRUE,"High")</f>
        <v>Medium</v>
      </c>
    </row>
    <row r="814" spans="1:41" hidden="1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 t="str">
        <f t="shared" si="36"/>
        <v>Active</v>
      </c>
      <c r="AK814">
        <f t="shared" ca="1" si="37"/>
        <v>2007</v>
      </c>
      <c r="AL814">
        <f t="shared" si="38"/>
        <v>0</v>
      </c>
      <c r="AM814" t="e" cm="1">
        <f t="array" aca="1" ref="AM814" ca="1">IF(B814="Yes",YEAR(TODAY()),BLANK())</f>
        <v>#NAME?</v>
      </c>
      <c r="AN814" t="str" cm="1">
        <f t="array" ref="AN814" xml:space="preserve"> _xlfn.IFS(A814&lt;25,"&lt;25",
A814&lt;=35,"25-35",
A814&lt;=45,"36-45",
TRUE,"45+"
)</f>
        <v>36-45</v>
      </c>
      <c r="AO814" t="str" cm="1">
        <f t="array" ref="AO814">_xlfn.IFS(S814&lt;5000,"Low",
S814&lt;=15000,"Medium",
TRUE,"High")</f>
        <v>Medium</v>
      </c>
    </row>
    <row r="815" spans="1:41" hidden="1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 t="str">
        <f t="shared" si="36"/>
        <v>Resigned</v>
      </c>
      <c r="AK815">
        <f t="shared" ca="1" si="37"/>
        <v>2004</v>
      </c>
      <c r="AL815">
        <f t="shared" si="38"/>
        <v>1</v>
      </c>
      <c r="AM815" cm="1">
        <f t="array" aca="1" ref="AM815" ca="1">IF(B815="Yes",YEAR(TODAY()),BLANK())</f>
        <v>2025</v>
      </c>
      <c r="AN815" t="str" cm="1">
        <f t="array" ref="AN815" xml:space="preserve"> _xlfn.IFS(A815&lt;25,"&lt;25",
A815&lt;=35,"25-35",
A815&lt;=45,"36-45",
TRUE,"45+"
)</f>
        <v>36-45</v>
      </c>
      <c r="AO815" t="str" cm="1">
        <f t="array" ref="AO815">_xlfn.IFS(S815&lt;5000,"Low",
S815&lt;=15000,"Medium",
TRUE,"High")</f>
        <v>Medium</v>
      </c>
    </row>
    <row r="816" spans="1:41" hidden="1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 t="str">
        <f t="shared" si="36"/>
        <v>Active</v>
      </c>
      <c r="AK816">
        <f t="shared" ca="1" si="37"/>
        <v>2004</v>
      </c>
      <c r="AL816">
        <f t="shared" si="38"/>
        <v>0</v>
      </c>
      <c r="AM816" t="e" cm="1">
        <f t="array" aca="1" ref="AM816" ca="1">IF(B816="Yes",YEAR(TODAY()),BLANK())</f>
        <v>#NAME?</v>
      </c>
      <c r="AN816" t="str" cm="1">
        <f t="array" ref="AN816" xml:space="preserve"> _xlfn.IFS(A816&lt;25,"&lt;25",
A816&lt;=35,"25-35",
A816&lt;=45,"36-45",
TRUE,"45+"
)</f>
        <v>36-45</v>
      </c>
      <c r="AO816" t="str" cm="1">
        <f t="array" ref="AO816">_xlfn.IFS(S816&lt;5000,"Low",
S816&lt;=15000,"Medium",
TRUE,"High")</f>
        <v>High</v>
      </c>
    </row>
    <row r="817" spans="1:41" hidden="1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 t="str">
        <f t="shared" si="36"/>
        <v>Active</v>
      </c>
      <c r="AK817">
        <f t="shared" ca="1" si="37"/>
        <v>2023</v>
      </c>
      <c r="AL817">
        <f t="shared" si="38"/>
        <v>0</v>
      </c>
      <c r="AM817" t="e" cm="1">
        <f t="array" aca="1" ref="AM817" ca="1">IF(B817="Yes",YEAR(TODAY()),BLANK())</f>
        <v>#NAME?</v>
      </c>
      <c r="AN817" t="str" cm="1">
        <f t="array" ref="AN817" xml:space="preserve"> _xlfn.IFS(A817&lt;25,"&lt;25",
A817&lt;=35,"25-35",
A817&lt;=45,"36-45",
TRUE,"45+"
)</f>
        <v>&lt;25</v>
      </c>
      <c r="AO817" t="str" cm="1">
        <f t="array" ref="AO817">_xlfn.IFS(S817&lt;5000,"Low",
S817&lt;=15000,"Medium",
TRUE,"High")</f>
        <v>Low</v>
      </c>
    </row>
    <row r="818" spans="1:41" hidden="1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 t="str">
        <f t="shared" si="36"/>
        <v>Active</v>
      </c>
      <c r="AK818">
        <f t="shared" ca="1" si="37"/>
        <v>2016</v>
      </c>
      <c r="AL818">
        <f t="shared" si="38"/>
        <v>0</v>
      </c>
      <c r="AM818" t="e" cm="1">
        <f t="array" aca="1" ref="AM818" ca="1">IF(B818="Yes",YEAR(TODAY()),BLANK())</f>
        <v>#NAME?</v>
      </c>
      <c r="AN818" t="str" cm="1">
        <f t="array" ref="AN818" xml:space="preserve"> _xlfn.IFS(A818&lt;25,"&lt;25",
A818&lt;=35,"25-35",
A818&lt;=45,"36-45",
TRUE,"45+"
)</f>
        <v>36-45</v>
      </c>
      <c r="AO818" t="str" cm="1">
        <f t="array" ref="AO818">_xlfn.IFS(S818&lt;5000,"Low",
S818&lt;=15000,"Medium",
TRUE,"High")</f>
        <v>Medium</v>
      </c>
    </row>
    <row r="819" spans="1:41" hidden="1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 t="str">
        <f t="shared" si="36"/>
        <v>Active</v>
      </c>
      <c r="AK819">
        <f t="shared" ca="1" si="37"/>
        <v>2007</v>
      </c>
      <c r="AL819">
        <f t="shared" si="38"/>
        <v>0</v>
      </c>
      <c r="AM819" t="e" cm="1">
        <f t="array" aca="1" ref="AM819" ca="1">IF(B819="Yes",YEAR(TODAY()),BLANK())</f>
        <v>#NAME?</v>
      </c>
      <c r="AN819" t="str" cm="1">
        <f t="array" ref="AN819" xml:space="preserve"> _xlfn.IFS(A819&lt;25,"&lt;25",
A819&lt;=35,"25-35",
A819&lt;=45,"36-45",
TRUE,"45+"
)</f>
        <v>36-45</v>
      </c>
      <c r="AO819" t="str" cm="1">
        <f t="array" ref="AO819">_xlfn.IFS(S819&lt;5000,"Low",
S819&lt;=15000,"Medium",
TRUE,"High")</f>
        <v>Medium</v>
      </c>
    </row>
    <row r="820" spans="1:41" hidden="1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 t="str">
        <f t="shared" si="36"/>
        <v>Active</v>
      </c>
      <c r="AK820">
        <f t="shared" ca="1" si="37"/>
        <v>2022</v>
      </c>
      <c r="AL820">
        <f t="shared" si="38"/>
        <v>0</v>
      </c>
      <c r="AM820" t="e" cm="1">
        <f t="array" aca="1" ref="AM820" ca="1">IF(B820="Yes",YEAR(TODAY()),BLANK())</f>
        <v>#NAME?</v>
      </c>
      <c r="AN820" t="str" cm="1">
        <f t="array" ref="AN820" xml:space="preserve"> _xlfn.IFS(A820&lt;25,"&lt;25",
A820&lt;=35,"25-35",
A820&lt;=45,"36-45",
TRUE,"45+"
)</f>
        <v>25-35</v>
      </c>
      <c r="AO820" t="str" cm="1">
        <f t="array" ref="AO820">_xlfn.IFS(S820&lt;5000,"Low",
S820&lt;=15000,"Medium",
TRUE,"High")</f>
        <v>Low</v>
      </c>
    </row>
    <row r="821" spans="1:41" hidden="1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 t="str">
        <f t="shared" si="36"/>
        <v>Active</v>
      </c>
      <c r="AK821">
        <f t="shared" ca="1" si="37"/>
        <v>2019</v>
      </c>
      <c r="AL821">
        <f t="shared" si="38"/>
        <v>0</v>
      </c>
      <c r="AM821" t="e" cm="1">
        <f t="array" aca="1" ref="AM821" ca="1">IF(B821="Yes",YEAR(TODAY()),BLANK())</f>
        <v>#NAME?</v>
      </c>
      <c r="AN821" t="str" cm="1">
        <f t="array" ref="AN821" xml:space="preserve"> _xlfn.IFS(A821&lt;25,"&lt;25",
A821&lt;=35,"25-35",
A821&lt;=45,"36-45",
TRUE,"45+"
)</f>
        <v>25-35</v>
      </c>
      <c r="AO821" t="str" cm="1">
        <f t="array" ref="AO821">_xlfn.IFS(S821&lt;5000,"Low",
S821&lt;=15000,"Medium",
TRUE,"High")</f>
        <v>Low</v>
      </c>
    </row>
    <row r="822" spans="1:41" hidden="1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 t="str">
        <f t="shared" si="36"/>
        <v>Active</v>
      </c>
      <c r="AK822">
        <f t="shared" ca="1" si="37"/>
        <v>2020</v>
      </c>
      <c r="AL822">
        <f t="shared" si="38"/>
        <v>0</v>
      </c>
      <c r="AM822" t="e" cm="1">
        <f t="array" aca="1" ref="AM822" ca="1">IF(B822="Yes",YEAR(TODAY()),BLANK())</f>
        <v>#NAME?</v>
      </c>
      <c r="AN822" t="str" cm="1">
        <f t="array" ref="AN822" xml:space="preserve"> _xlfn.IFS(A822&lt;25,"&lt;25",
A822&lt;=35,"25-35",
A822&lt;=45,"36-45",
TRUE,"45+"
)</f>
        <v>25-35</v>
      </c>
      <c r="AO822" t="str" cm="1">
        <f t="array" ref="AO822">_xlfn.IFS(S822&lt;5000,"Low",
S822&lt;=15000,"Medium",
TRUE,"High")</f>
        <v>Low</v>
      </c>
    </row>
    <row r="823" spans="1:41" hidden="1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 t="str">
        <f t="shared" si="36"/>
        <v>Active</v>
      </c>
      <c r="AK823">
        <f t="shared" ca="1" si="37"/>
        <v>2003</v>
      </c>
      <c r="AL823">
        <f t="shared" si="38"/>
        <v>0</v>
      </c>
      <c r="AM823" t="e" cm="1">
        <f t="array" aca="1" ref="AM823" ca="1">IF(B823="Yes",YEAR(TODAY()),BLANK())</f>
        <v>#NAME?</v>
      </c>
      <c r="AN823" t="str" cm="1">
        <f t="array" ref="AN823" xml:space="preserve"> _xlfn.IFS(A823&lt;25,"&lt;25",
A823&lt;=35,"25-35",
A823&lt;=45,"36-45",
TRUE,"45+"
)</f>
        <v>45+</v>
      </c>
      <c r="AO823" t="str" cm="1">
        <f t="array" ref="AO823">_xlfn.IFS(S823&lt;5000,"Low",
S823&lt;=15000,"Medium",
TRUE,"High")</f>
        <v>Medium</v>
      </c>
    </row>
    <row r="824" spans="1:41" hidden="1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 t="str">
        <f t="shared" si="36"/>
        <v>Active</v>
      </c>
      <c r="AK824">
        <f t="shared" ca="1" si="37"/>
        <v>2020</v>
      </c>
      <c r="AL824">
        <f t="shared" si="38"/>
        <v>0</v>
      </c>
      <c r="AM824" t="e" cm="1">
        <f t="array" aca="1" ref="AM824" ca="1">IF(B824="Yes",YEAR(TODAY()),BLANK())</f>
        <v>#NAME?</v>
      </c>
      <c r="AN824" t="str" cm="1">
        <f t="array" ref="AN824" xml:space="preserve"> _xlfn.IFS(A824&lt;25,"&lt;25",
A824&lt;=35,"25-35",
A824&lt;=45,"36-45",
TRUE,"45+"
)</f>
        <v>25-35</v>
      </c>
      <c r="AO824" t="str" cm="1">
        <f t="array" ref="AO824">_xlfn.IFS(S824&lt;5000,"Low",
S824&lt;=15000,"Medium",
TRUE,"High")</f>
        <v>Low</v>
      </c>
    </row>
    <row r="825" spans="1:41" hidden="1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 t="str">
        <f t="shared" si="36"/>
        <v>Active</v>
      </c>
      <c r="AK825">
        <f t="shared" ca="1" si="37"/>
        <v>2017</v>
      </c>
      <c r="AL825">
        <f t="shared" si="38"/>
        <v>0</v>
      </c>
      <c r="AM825" t="e" cm="1">
        <f t="array" aca="1" ref="AM825" ca="1">IF(B825="Yes",YEAR(TODAY()),BLANK())</f>
        <v>#NAME?</v>
      </c>
      <c r="AN825" t="str" cm="1">
        <f t="array" ref="AN825" xml:space="preserve"> _xlfn.IFS(A825&lt;25,"&lt;25",
A825&lt;=35,"25-35",
A825&lt;=45,"36-45",
TRUE,"45+"
)</f>
        <v>25-35</v>
      </c>
      <c r="AO825" t="str" cm="1">
        <f t="array" ref="AO825">_xlfn.IFS(S825&lt;5000,"Low",
S825&lt;=15000,"Medium",
TRUE,"High")</f>
        <v>Low</v>
      </c>
    </row>
    <row r="826" spans="1:41" hidden="1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 t="str">
        <f t="shared" si="36"/>
        <v>Active</v>
      </c>
      <c r="AK826">
        <f t="shared" ca="1" si="37"/>
        <v>2009</v>
      </c>
      <c r="AL826">
        <f t="shared" si="38"/>
        <v>0</v>
      </c>
      <c r="AM826" t="e" cm="1">
        <f t="array" aca="1" ref="AM826" ca="1">IF(B826="Yes",YEAR(TODAY()),BLANK())</f>
        <v>#NAME?</v>
      </c>
      <c r="AN826" t="str" cm="1">
        <f t="array" ref="AN826" xml:space="preserve"> _xlfn.IFS(A826&lt;25,"&lt;25",
A826&lt;=35,"25-35",
A826&lt;=45,"36-45",
TRUE,"45+"
)</f>
        <v>36-45</v>
      </c>
      <c r="AO826" t="str" cm="1">
        <f t="array" ref="AO826">_xlfn.IFS(S826&lt;5000,"Low",
S826&lt;=15000,"Medium",
TRUE,"High")</f>
        <v>Low</v>
      </c>
    </row>
    <row r="827" spans="1:41" hidden="1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 t="str">
        <f t="shared" si="36"/>
        <v>Active</v>
      </c>
      <c r="AK827">
        <f t="shared" ca="1" si="37"/>
        <v>2015</v>
      </c>
      <c r="AL827">
        <f t="shared" si="38"/>
        <v>0</v>
      </c>
      <c r="AM827" t="e" cm="1">
        <f t="array" aca="1" ref="AM827" ca="1">IF(B827="Yes",YEAR(TODAY()),BLANK())</f>
        <v>#NAME?</v>
      </c>
      <c r="AN827" t="str" cm="1">
        <f t="array" ref="AN827" xml:space="preserve"> _xlfn.IFS(A827&lt;25,"&lt;25",
A827&lt;=35,"25-35",
A827&lt;=45,"36-45",
TRUE,"45+"
)</f>
        <v>25-35</v>
      </c>
      <c r="AO827" t="str" cm="1">
        <f t="array" ref="AO827">_xlfn.IFS(S827&lt;5000,"Low",
S827&lt;=15000,"Medium",
TRUE,"High")</f>
        <v>Medium</v>
      </c>
    </row>
    <row r="828" spans="1:41" hidden="1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 t="str">
        <f t="shared" si="36"/>
        <v>Active</v>
      </c>
      <c r="AK828">
        <f t="shared" ca="1" si="37"/>
        <v>2018</v>
      </c>
      <c r="AL828">
        <f t="shared" si="38"/>
        <v>0</v>
      </c>
      <c r="AM828" t="e" cm="1">
        <f t="array" aca="1" ref="AM828" ca="1">IF(B828="Yes",YEAR(TODAY()),BLANK())</f>
        <v>#NAME?</v>
      </c>
      <c r="AN828" t="str" cm="1">
        <f t="array" ref="AN828" xml:space="preserve"> _xlfn.IFS(A828&lt;25,"&lt;25",
A828&lt;=35,"25-35",
A828&lt;=45,"36-45",
TRUE,"45+"
)</f>
        <v>36-45</v>
      </c>
      <c r="AO828" t="str" cm="1">
        <f t="array" ref="AO828">_xlfn.IFS(S828&lt;5000,"Low",
S828&lt;=15000,"Medium",
TRUE,"High")</f>
        <v>Low</v>
      </c>
    </row>
    <row r="829" spans="1:41" hidden="1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 t="str">
        <f t="shared" si="36"/>
        <v>Active</v>
      </c>
      <c r="AK829">
        <f t="shared" ca="1" si="37"/>
        <v>2022</v>
      </c>
      <c r="AL829">
        <f t="shared" si="38"/>
        <v>0</v>
      </c>
      <c r="AM829" t="e" cm="1">
        <f t="array" aca="1" ref="AM829" ca="1">IF(B829="Yes",YEAR(TODAY()),BLANK())</f>
        <v>#NAME?</v>
      </c>
      <c r="AN829" t="str" cm="1">
        <f t="array" ref="AN829" xml:space="preserve"> _xlfn.IFS(A829&lt;25,"&lt;25",
A829&lt;=35,"25-35",
A829&lt;=45,"36-45",
TRUE,"45+"
)</f>
        <v>25-35</v>
      </c>
      <c r="AO829" t="str" cm="1">
        <f t="array" ref="AO829">_xlfn.IFS(S829&lt;5000,"Low",
S829&lt;=15000,"Medium",
TRUE,"High")</f>
        <v>Low</v>
      </c>
    </row>
    <row r="830" spans="1:41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 t="str">
        <f t="shared" si="36"/>
        <v>Resigned</v>
      </c>
      <c r="AK830">
        <f t="shared" ca="1" si="37"/>
        <v>2025</v>
      </c>
      <c r="AL830">
        <f t="shared" si="38"/>
        <v>1</v>
      </c>
      <c r="AM830" cm="1">
        <f t="array" aca="1" ref="AM830" ca="1">IF(B830="Yes",YEAR(TODAY()),BLANK())</f>
        <v>2025</v>
      </c>
      <c r="AN830" t="str" cm="1">
        <f t="array" ref="AN830" xml:space="preserve"> _xlfn.IFS(A830&lt;25,"&lt;25",
A830&lt;=35,"25-35",
A830&lt;=45,"36-45",
TRUE,"45+"
)</f>
        <v>&lt;25</v>
      </c>
      <c r="AO830" t="str" cm="1">
        <f t="array" ref="AO830">_xlfn.IFS(S830&lt;5000,"Low",
S830&lt;=15000,"Medium",
TRUE,"High")</f>
        <v>Low</v>
      </c>
    </row>
    <row r="831" spans="1:41" hidden="1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 t="str">
        <f t="shared" si="36"/>
        <v>Resigned</v>
      </c>
      <c r="AK831">
        <f t="shared" ca="1" si="37"/>
        <v>2019</v>
      </c>
      <c r="AL831">
        <f t="shared" si="38"/>
        <v>1</v>
      </c>
      <c r="AM831" cm="1">
        <f t="array" aca="1" ref="AM831" ca="1">IF(B831="Yes",YEAR(TODAY()),BLANK())</f>
        <v>2025</v>
      </c>
      <c r="AN831" t="str" cm="1">
        <f t="array" ref="AN831" xml:space="preserve"> _xlfn.IFS(A831&lt;25,"&lt;25",
A831&lt;=35,"25-35",
A831&lt;=45,"36-45",
TRUE,"45+"
)</f>
        <v>25-35</v>
      </c>
      <c r="AO831" t="str" cm="1">
        <f t="array" ref="AO831">_xlfn.IFS(S831&lt;5000,"Low",
S831&lt;=15000,"Medium",
TRUE,"High")</f>
        <v>Medium</v>
      </c>
    </row>
    <row r="832" spans="1:41" hidden="1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 t="str">
        <f t="shared" si="36"/>
        <v>Active</v>
      </c>
      <c r="AK832">
        <f t="shared" ca="1" si="37"/>
        <v>2019</v>
      </c>
      <c r="AL832">
        <f t="shared" si="38"/>
        <v>0</v>
      </c>
      <c r="AM832" t="e" cm="1">
        <f t="array" aca="1" ref="AM832" ca="1">IF(B832="Yes",YEAR(TODAY()),BLANK())</f>
        <v>#NAME?</v>
      </c>
      <c r="AN832" t="str" cm="1">
        <f t="array" ref="AN832" xml:space="preserve"> _xlfn.IFS(A832&lt;25,"&lt;25",
A832&lt;=35,"25-35",
A832&lt;=45,"36-45",
TRUE,"45+"
)</f>
        <v>36-45</v>
      </c>
      <c r="AO832" t="str" cm="1">
        <f t="array" ref="AO832">_xlfn.IFS(S832&lt;5000,"Low",
S832&lt;=15000,"Medium",
TRUE,"High")</f>
        <v>Low</v>
      </c>
    </row>
    <row r="833" spans="1:41" hidden="1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 t="str">
        <f t="shared" si="36"/>
        <v>Resigned</v>
      </c>
      <c r="AK833">
        <f t="shared" ca="1" si="37"/>
        <v>2023</v>
      </c>
      <c r="AL833">
        <f t="shared" si="38"/>
        <v>1</v>
      </c>
      <c r="AM833" cm="1">
        <f t="array" aca="1" ref="AM833" ca="1">IF(B833="Yes",YEAR(TODAY()),BLANK())</f>
        <v>2025</v>
      </c>
      <c r="AN833" t="str" cm="1">
        <f t="array" ref="AN833" xml:space="preserve"> _xlfn.IFS(A833&lt;25,"&lt;25",
A833&lt;=35,"25-35",
A833&lt;=45,"36-45",
TRUE,"45+"
)</f>
        <v>25-35</v>
      </c>
      <c r="AO833" t="str" cm="1">
        <f t="array" ref="AO833">_xlfn.IFS(S833&lt;5000,"Low",
S833&lt;=15000,"Medium",
TRUE,"High")</f>
        <v>Low</v>
      </c>
    </row>
    <row r="834" spans="1:41" hidden="1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 t="str">
        <f t="shared" si="36"/>
        <v>Active</v>
      </c>
      <c r="AK834">
        <f t="shared" ca="1" si="37"/>
        <v>2016</v>
      </c>
      <c r="AL834">
        <f t="shared" si="38"/>
        <v>0</v>
      </c>
      <c r="AM834" t="e" cm="1">
        <f t="array" aca="1" ref="AM834" ca="1">IF(B834="Yes",YEAR(TODAY()),BLANK())</f>
        <v>#NAME?</v>
      </c>
      <c r="AN834" t="str" cm="1">
        <f t="array" ref="AN834" xml:space="preserve"> _xlfn.IFS(A834&lt;25,"&lt;25",
A834&lt;=35,"25-35",
A834&lt;=45,"36-45",
TRUE,"45+"
)</f>
        <v>36-45</v>
      </c>
      <c r="AO834" t="str" cm="1">
        <f t="array" ref="AO834">_xlfn.IFS(S834&lt;5000,"Low",
S834&lt;=15000,"Medium",
TRUE,"High")</f>
        <v>Medium</v>
      </c>
    </row>
    <row r="835" spans="1:41" hidden="1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 t="str">
        <f t="shared" ref="AJ835:AJ898" si="39">IF(B835="Yes", "Resigned","Active")</f>
        <v>Active</v>
      </c>
      <c r="AK835">
        <f t="shared" ref="AK835:AK898" ca="1" si="40">YEAR(TODAY()) - AC835</f>
        <v>2021</v>
      </c>
      <c r="AL835">
        <f t="shared" ref="AL835:AL898" si="41">IF(B835="Yes",1,0)</f>
        <v>0</v>
      </c>
      <c r="AM835" t="e" cm="1">
        <f t="array" aca="1" ref="AM835" ca="1">IF(B835="Yes",YEAR(TODAY()),BLANK())</f>
        <v>#NAME?</v>
      </c>
      <c r="AN835" t="str" cm="1">
        <f t="array" ref="AN835" xml:space="preserve"> _xlfn.IFS(A835&lt;25,"&lt;25",
A835&lt;=35,"25-35",
A835&lt;=45,"36-45",
TRUE,"45+"
)</f>
        <v>25-35</v>
      </c>
      <c r="AO835" t="str" cm="1">
        <f t="array" ref="AO835">_xlfn.IFS(S835&lt;5000,"Low",
S835&lt;=15000,"Medium",
TRUE,"High")</f>
        <v>Low</v>
      </c>
    </row>
    <row r="836" spans="1:41" hidden="1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 t="str">
        <f t="shared" si="39"/>
        <v>Active</v>
      </c>
      <c r="AK836">
        <f t="shared" ca="1" si="40"/>
        <v>2019</v>
      </c>
      <c r="AL836">
        <f t="shared" si="41"/>
        <v>0</v>
      </c>
      <c r="AM836" t="e" cm="1">
        <f t="array" aca="1" ref="AM836" ca="1">IF(B836="Yes",YEAR(TODAY()),BLANK())</f>
        <v>#NAME?</v>
      </c>
      <c r="AN836" t="str" cm="1">
        <f t="array" ref="AN836" xml:space="preserve"> _xlfn.IFS(A836&lt;25,"&lt;25",
A836&lt;=35,"25-35",
A836&lt;=45,"36-45",
TRUE,"45+"
)</f>
        <v>25-35</v>
      </c>
      <c r="AO836" t="str" cm="1">
        <f t="array" ref="AO836">_xlfn.IFS(S836&lt;5000,"Low",
S836&lt;=15000,"Medium",
TRUE,"High")</f>
        <v>Medium</v>
      </c>
    </row>
    <row r="837" spans="1:41" hidden="1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 t="str">
        <f t="shared" si="39"/>
        <v>Active</v>
      </c>
      <c r="AK837">
        <f t="shared" ca="1" si="40"/>
        <v>2019</v>
      </c>
      <c r="AL837">
        <f t="shared" si="41"/>
        <v>0</v>
      </c>
      <c r="AM837" t="e" cm="1">
        <f t="array" aca="1" ref="AM837" ca="1">IF(B837="Yes",YEAR(TODAY()),BLANK())</f>
        <v>#NAME?</v>
      </c>
      <c r="AN837" t="str" cm="1">
        <f t="array" ref="AN837" xml:space="preserve"> _xlfn.IFS(A837&lt;25,"&lt;25",
A837&lt;=35,"25-35",
A837&lt;=45,"36-45",
TRUE,"45+"
)</f>
        <v>25-35</v>
      </c>
      <c r="AO837" t="str" cm="1">
        <f t="array" ref="AO837">_xlfn.IFS(S837&lt;5000,"Low",
S837&lt;=15000,"Medium",
TRUE,"High")</f>
        <v>Low</v>
      </c>
    </row>
    <row r="838" spans="1:41" hidden="1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 t="str">
        <f t="shared" si="39"/>
        <v>Resigned</v>
      </c>
      <c r="AK838">
        <f t="shared" ca="1" si="40"/>
        <v>2014</v>
      </c>
      <c r="AL838">
        <f t="shared" si="41"/>
        <v>1</v>
      </c>
      <c r="AM838" cm="1">
        <f t="array" aca="1" ref="AM838" ca="1">IF(B838="Yes",YEAR(TODAY()),BLANK())</f>
        <v>2025</v>
      </c>
      <c r="AN838" t="str" cm="1">
        <f t="array" ref="AN838" xml:space="preserve"> _xlfn.IFS(A838&lt;25,"&lt;25",
A838&lt;=35,"25-35",
A838&lt;=45,"36-45",
TRUE,"45+"
)</f>
        <v>25-35</v>
      </c>
      <c r="AO838" t="str" cm="1">
        <f t="array" ref="AO838">_xlfn.IFS(S838&lt;5000,"Low",
S838&lt;=15000,"Medium",
TRUE,"High")</f>
        <v>Medium</v>
      </c>
    </row>
    <row r="839" spans="1:41" hidden="1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 t="str">
        <f t="shared" si="39"/>
        <v>Active</v>
      </c>
      <c r="AK839">
        <f t="shared" ca="1" si="40"/>
        <v>2005</v>
      </c>
      <c r="AL839">
        <f t="shared" si="41"/>
        <v>0</v>
      </c>
      <c r="AM839" t="e" cm="1">
        <f t="array" aca="1" ref="AM839" ca="1">IF(B839="Yes",YEAR(TODAY()),BLANK())</f>
        <v>#NAME?</v>
      </c>
      <c r="AN839" t="str" cm="1">
        <f t="array" ref="AN839" xml:space="preserve"> _xlfn.IFS(A839&lt;25,"&lt;25",
A839&lt;=35,"25-35",
A839&lt;=45,"36-45",
TRUE,"45+"
)</f>
        <v>36-45</v>
      </c>
      <c r="AO839" t="str" cm="1">
        <f t="array" ref="AO839">_xlfn.IFS(S839&lt;5000,"Low",
S839&lt;=15000,"Medium",
TRUE,"High")</f>
        <v>Medium</v>
      </c>
    </row>
    <row r="840" spans="1:41" hidden="1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 t="str">
        <f t="shared" si="39"/>
        <v>Resigned</v>
      </c>
      <c r="AK840">
        <f t="shared" ca="1" si="40"/>
        <v>2003</v>
      </c>
      <c r="AL840">
        <f t="shared" si="41"/>
        <v>1</v>
      </c>
      <c r="AM840" cm="1">
        <f t="array" aca="1" ref="AM840" ca="1">IF(B840="Yes",YEAR(TODAY()),BLANK())</f>
        <v>2025</v>
      </c>
      <c r="AN840" t="str" cm="1">
        <f t="array" ref="AN840" xml:space="preserve"> _xlfn.IFS(A840&lt;25,"&lt;25",
A840&lt;=35,"25-35",
A840&lt;=45,"36-45",
TRUE,"45+"
)</f>
        <v>36-45</v>
      </c>
      <c r="AO840" t="str" cm="1">
        <f t="array" ref="AO840">_xlfn.IFS(S840&lt;5000,"Low",
S840&lt;=15000,"Medium",
TRUE,"High")</f>
        <v>Medium</v>
      </c>
    </row>
    <row r="841" spans="1:41" hidden="1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 t="str">
        <f t="shared" si="39"/>
        <v>Active</v>
      </c>
      <c r="AK841">
        <f t="shared" ca="1" si="40"/>
        <v>2016</v>
      </c>
      <c r="AL841">
        <f t="shared" si="41"/>
        <v>0</v>
      </c>
      <c r="AM841" t="e" cm="1">
        <f t="array" aca="1" ref="AM841" ca="1">IF(B841="Yes",YEAR(TODAY()),BLANK())</f>
        <v>#NAME?</v>
      </c>
      <c r="AN841" t="str" cm="1">
        <f t="array" ref="AN841" xml:space="preserve"> _xlfn.IFS(A841&lt;25,"&lt;25",
A841&lt;=35,"25-35",
A841&lt;=45,"36-45",
TRUE,"45+"
)</f>
        <v>36-45</v>
      </c>
      <c r="AO841" t="str" cm="1">
        <f t="array" ref="AO841">_xlfn.IFS(S841&lt;5000,"Low",
S841&lt;=15000,"Medium",
TRUE,"High")</f>
        <v>Medium</v>
      </c>
    </row>
    <row r="842" spans="1:41" hidden="1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 t="str">
        <f t="shared" si="39"/>
        <v>Active</v>
      </c>
      <c r="AK842">
        <f t="shared" ca="1" si="40"/>
        <v>2015</v>
      </c>
      <c r="AL842">
        <f t="shared" si="41"/>
        <v>0</v>
      </c>
      <c r="AM842" t="e" cm="1">
        <f t="array" aca="1" ref="AM842" ca="1">IF(B842="Yes",YEAR(TODAY()),BLANK())</f>
        <v>#NAME?</v>
      </c>
      <c r="AN842" t="str" cm="1">
        <f t="array" ref="AN842" xml:space="preserve"> _xlfn.IFS(A842&lt;25,"&lt;25",
A842&lt;=35,"25-35",
A842&lt;=45,"36-45",
TRUE,"45+"
)</f>
        <v>25-35</v>
      </c>
      <c r="AO842" t="str" cm="1">
        <f t="array" ref="AO842">_xlfn.IFS(S842&lt;5000,"Low",
S842&lt;=15000,"Medium",
TRUE,"High")</f>
        <v>Low</v>
      </c>
    </row>
    <row r="843" spans="1:41" hidden="1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 t="str">
        <f t="shared" si="39"/>
        <v>Active</v>
      </c>
      <c r="AK843">
        <f t="shared" ca="1" si="40"/>
        <v>2019</v>
      </c>
      <c r="AL843">
        <f t="shared" si="41"/>
        <v>0</v>
      </c>
      <c r="AM843" t="e" cm="1">
        <f t="array" aca="1" ref="AM843" ca="1">IF(B843="Yes",YEAR(TODAY()),BLANK())</f>
        <v>#NAME?</v>
      </c>
      <c r="AN843" t="str" cm="1">
        <f t="array" ref="AN843" xml:space="preserve"> _xlfn.IFS(A843&lt;25,"&lt;25",
A843&lt;=35,"25-35",
A843&lt;=45,"36-45",
TRUE,"45+"
)</f>
        <v>&lt;25</v>
      </c>
      <c r="AO843" t="str" cm="1">
        <f t="array" ref="AO843">_xlfn.IFS(S843&lt;5000,"Low",
S843&lt;=15000,"Medium",
TRUE,"High")</f>
        <v>Low</v>
      </c>
    </row>
    <row r="844" spans="1:41" hidden="1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 t="str">
        <f t="shared" si="39"/>
        <v>Resigned</v>
      </c>
      <c r="AK844">
        <f t="shared" ca="1" si="40"/>
        <v>2024</v>
      </c>
      <c r="AL844">
        <f t="shared" si="41"/>
        <v>1</v>
      </c>
      <c r="AM844" cm="1">
        <f t="array" aca="1" ref="AM844" ca="1">IF(B844="Yes",YEAR(TODAY()),BLANK())</f>
        <v>2025</v>
      </c>
      <c r="AN844" t="str" cm="1">
        <f t="array" ref="AN844" xml:space="preserve"> _xlfn.IFS(A844&lt;25,"&lt;25",
A844&lt;=35,"25-35",
A844&lt;=45,"36-45",
TRUE,"45+"
)</f>
        <v>25-35</v>
      </c>
      <c r="AO844" t="str" cm="1">
        <f t="array" ref="AO844">_xlfn.IFS(S844&lt;5000,"Low",
S844&lt;=15000,"Medium",
TRUE,"High")</f>
        <v>Low</v>
      </c>
    </row>
    <row r="845" spans="1:41" hidden="1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 t="str">
        <f t="shared" si="39"/>
        <v>Active</v>
      </c>
      <c r="AK845">
        <f t="shared" ca="1" si="40"/>
        <v>2017</v>
      </c>
      <c r="AL845">
        <f t="shared" si="41"/>
        <v>0</v>
      </c>
      <c r="AM845" t="e" cm="1">
        <f t="array" aca="1" ref="AM845" ca="1">IF(B845="Yes",YEAR(TODAY()),BLANK())</f>
        <v>#NAME?</v>
      </c>
      <c r="AN845" t="str" cm="1">
        <f t="array" ref="AN845" xml:space="preserve"> _xlfn.IFS(A845&lt;25,"&lt;25",
A845&lt;=35,"25-35",
A845&lt;=45,"36-45",
TRUE,"45+"
)</f>
        <v>25-35</v>
      </c>
      <c r="AO845" t="str" cm="1">
        <f t="array" ref="AO845">_xlfn.IFS(S845&lt;5000,"Low",
S845&lt;=15000,"Medium",
TRUE,"High")</f>
        <v>Low</v>
      </c>
    </row>
    <row r="846" spans="1:41" hidden="1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 t="str">
        <f t="shared" si="39"/>
        <v>Active</v>
      </c>
      <c r="AK846">
        <f t="shared" ca="1" si="40"/>
        <v>2015</v>
      </c>
      <c r="AL846">
        <f t="shared" si="41"/>
        <v>0</v>
      </c>
      <c r="AM846" t="e" cm="1">
        <f t="array" aca="1" ref="AM846" ca="1">IF(B846="Yes",YEAR(TODAY()),BLANK())</f>
        <v>#NAME?</v>
      </c>
      <c r="AN846" t="str" cm="1">
        <f t="array" ref="AN846" xml:space="preserve"> _xlfn.IFS(A846&lt;25,"&lt;25",
A846&lt;=35,"25-35",
A846&lt;=45,"36-45",
TRUE,"45+"
)</f>
        <v>25-35</v>
      </c>
      <c r="AO846" t="str" cm="1">
        <f t="array" ref="AO846">_xlfn.IFS(S846&lt;5000,"Low",
S846&lt;=15000,"Medium",
TRUE,"High")</f>
        <v>Medium</v>
      </c>
    </row>
    <row r="847" spans="1:41" hidden="1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 t="str">
        <f t="shared" si="39"/>
        <v>Active</v>
      </c>
      <c r="AK847">
        <f t="shared" ca="1" si="40"/>
        <v>2009</v>
      </c>
      <c r="AL847">
        <f t="shared" si="41"/>
        <v>0</v>
      </c>
      <c r="AM847" t="e" cm="1">
        <f t="array" aca="1" ref="AM847" ca="1">IF(B847="Yes",YEAR(TODAY()),BLANK())</f>
        <v>#NAME?</v>
      </c>
      <c r="AN847" t="str" cm="1">
        <f t="array" ref="AN847" xml:space="preserve"> _xlfn.IFS(A847&lt;25,"&lt;25",
A847&lt;=35,"25-35",
A847&lt;=45,"36-45",
TRUE,"45+"
)</f>
        <v>36-45</v>
      </c>
      <c r="AO847" t="str" cm="1">
        <f t="array" ref="AO847">_xlfn.IFS(S847&lt;5000,"Low",
S847&lt;=15000,"Medium",
TRUE,"High")</f>
        <v>Low</v>
      </c>
    </row>
    <row r="848" spans="1:41" hidden="1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 t="str">
        <f t="shared" si="39"/>
        <v>Active</v>
      </c>
      <c r="AK848">
        <f t="shared" ca="1" si="40"/>
        <v>2010</v>
      </c>
      <c r="AL848">
        <f t="shared" si="41"/>
        <v>0</v>
      </c>
      <c r="AM848" t="e" cm="1">
        <f t="array" aca="1" ref="AM848" ca="1">IF(B848="Yes",YEAR(TODAY()),BLANK())</f>
        <v>#NAME?</v>
      </c>
      <c r="AN848" t="str" cm="1">
        <f t="array" ref="AN848" xml:space="preserve"> _xlfn.IFS(A848&lt;25,"&lt;25",
A848&lt;=35,"25-35",
A848&lt;=45,"36-45",
TRUE,"45+"
)</f>
        <v>25-35</v>
      </c>
      <c r="AO848" t="str" cm="1">
        <f t="array" ref="AO848">_xlfn.IFS(S848&lt;5000,"Low",
S848&lt;=15000,"Medium",
TRUE,"High")</f>
        <v>Medium</v>
      </c>
    </row>
    <row r="849" spans="1:41" hidden="1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 t="str">
        <f t="shared" si="39"/>
        <v>Active</v>
      </c>
      <c r="AK849">
        <f t="shared" ca="1" si="40"/>
        <v>2011</v>
      </c>
      <c r="AL849">
        <f t="shared" si="41"/>
        <v>0</v>
      </c>
      <c r="AM849" t="e" cm="1">
        <f t="array" aca="1" ref="AM849" ca="1">IF(B849="Yes",YEAR(TODAY()),BLANK())</f>
        <v>#NAME?</v>
      </c>
      <c r="AN849" t="str" cm="1">
        <f t="array" ref="AN849" xml:space="preserve"> _xlfn.IFS(A849&lt;25,"&lt;25",
A849&lt;=35,"25-35",
A849&lt;=45,"36-45",
TRUE,"45+"
)</f>
        <v>25-35</v>
      </c>
      <c r="AO849" t="str" cm="1">
        <f t="array" ref="AO849">_xlfn.IFS(S849&lt;5000,"Low",
S849&lt;=15000,"Medium",
TRUE,"High")</f>
        <v>Medium</v>
      </c>
    </row>
    <row r="850" spans="1:41" hidden="1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 t="str">
        <f t="shared" si="39"/>
        <v>Active</v>
      </c>
      <c r="AK850">
        <f t="shared" ca="1" si="40"/>
        <v>2023</v>
      </c>
      <c r="AL850">
        <f t="shared" si="41"/>
        <v>0</v>
      </c>
      <c r="AM850" t="e" cm="1">
        <f t="array" aca="1" ref="AM850" ca="1">IF(B850="Yes",YEAR(TODAY()),BLANK())</f>
        <v>#NAME?</v>
      </c>
      <c r="AN850" t="str" cm="1">
        <f t="array" ref="AN850" xml:space="preserve"> _xlfn.IFS(A850&lt;25,"&lt;25",
A850&lt;=35,"25-35",
A850&lt;=45,"36-45",
TRUE,"45+"
)</f>
        <v>25-35</v>
      </c>
      <c r="AO850" t="str" cm="1">
        <f t="array" ref="AO850">_xlfn.IFS(S850&lt;5000,"Low",
S850&lt;=15000,"Medium",
TRUE,"High")</f>
        <v>Low</v>
      </c>
    </row>
    <row r="851" spans="1:41" hidden="1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 t="str">
        <f t="shared" si="39"/>
        <v>Resigned</v>
      </c>
      <c r="AK851">
        <f t="shared" ca="1" si="40"/>
        <v>2018</v>
      </c>
      <c r="AL851">
        <f t="shared" si="41"/>
        <v>1</v>
      </c>
      <c r="AM851" cm="1">
        <f t="array" aca="1" ref="AM851" ca="1">IF(B851="Yes",YEAR(TODAY()),BLANK())</f>
        <v>2025</v>
      </c>
      <c r="AN851" t="str" cm="1">
        <f t="array" ref="AN851" xml:space="preserve"> _xlfn.IFS(A851&lt;25,"&lt;25",
A851&lt;=35,"25-35",
A851&lt;=45,"36-45",
TRUE,"45+"
)</f>
        <v>36-45</v>
      </c>
      <c r="AO851" t="str" cm="1">
        <f t="array" ref="AO851">_xlfn.IFS(S851&lt;5000,"Low",
S851&lt;=15000,"Medium",
TRUE,"High")</f>
        <v>Medium</v>
      </c>
    </row>
    <row r="852" spans="1:41" hidden="1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 t="str">
        <f t="shared" si="39"/>
        <v>Active</v>
      </c>
      <c r="AK852">
        <f t="shared" ca="1" si="40"/>
        <v>2024</v>
      </c>
      <c r="AL852">
        <f t="shared" si="41"/>
        <v>0</v>
      </c>
      <c r="AM852" t="e" cm="1">
        <f t="array" aca="1" ref="AM852" ca="1">IF(B852="Yes",YEAR(TODAY()),BLANK())</f>
        <v>#NAME?</v>
      </c>
      <c r="AN852" t="str" cm="1">
        <f t="array" ref="AN852" xml:space="preserve"> _xlfn.IFS(A852&lt;25,"&lt;25",
A852&lt;=35,"25-35",
A852&lt;=45,"36-45",
TRUE,"45+"
)</f>
        <v>25-35</v>
      </c>
      <c r="AO852" t="str" cm="1">
        <f t="array" ref="AO852">_xlfn.IFS(S852&lt;5000,"Low",
S852&lt;=15000,"Medium",
TRUE,"High")</f>
        <v>Low</v>
      </c>
    </row>
    <row r="853" spans="1:41" hidden="1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 t="str">
        <f t="shared" si="39"/>
        <v>Active</v>
      </c>
      <c r="AK853">
        <f t="shared" ca="1" si="40"/>
        <v>1997</v>
      </c>
      <c r="AL853">
        <f t="shared" si="41"/>
        <v>0</v>
      </c>
      <c r="AM853" t="e" cm="1">
        <f t="array" aca="1" ref="AM853" ca="1">IF(B853="Yes",YEAR(TODAY()),BLANK())</f>
        <v>#NAME?</v>
      </c>
      <c r="AN853" t="str" cm="1">
        <f t="array" ref="AN853" xml:space="preserve"> _xlfn.IFS(A853&lt;25,"&lt;25",
A853&lt;=35,"25-35",
A853&lt;=45,"36-45",
TRUE,"45+"
)</f>
        <v>45+</v>
      </c>
      <c r="AO853" t="str" cm="1">
        <f t="array" ref="AO853">_xlfn.IFS(S853&lt;5000,"Low",
S853&lt;=15000,"Medium",
TRUE,"High")</f>
        <v>High</v>
      </c>
    </row>
    <row r="854" spans="1:41" hidden="1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 t="str">
        <f t="shared" si="39"/>
        <v>Active</v>
      </c>
      <c r="AK854">
        <f t="shared" ca="1" si="40"/>
        <v>2015</v>
      </c>
      <c r="AL854">
        <f t="shared" si="41"/>
        <v>0</v>
      </c>
      <c r="AM854" t="e" cm="1">
        <f t="array" aca="1" ref="AM854" ca="1">IF(B854="Yes",YEAR(TODAY()),BLANK())</f>
        <v>#NAME?</v>
      </c>
      <c r="AN854" t="str" cm="1">
        <f t="array" ref="AN854" xml:space="preserve"> _xlfn.IFS(A854&lt;25,"&lt;25",
A854&lt;=35,"25-35",
A854&lt;=45,"36-45",
TRUE,"45+"
)</f>
        <v>25-35</v>
      </c>
      <c r="AO854" t="str" cm="1">
        <f t="array" ref="AO854">_xlfn.IFS(S854&lt;5000,"Low",
S854&lt;=15000,"Medium",
TRUE,"High")</f>
        <v>Low</v>
      </c>
    </row>
    <row r="855" spans="1:41" hidden="1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 t="str">
        <f t="shared" si="39"/>
        <v>Active</v>
      </c>
      <c r="AK855">
        <f t="shared" ca="1" si="40"/>
        <v>2024</v>
      </c>
      <c r="AL855">
        <f t="shared" si="41"/>
        <v>0</v>
      </c>
      <c r="AM855" t="e" cm="1">
        <f t="array" aca="1" ref="AM855" ca="1">IF(B855="Yes",YEAR(TODAY()),BLANK())</f>
        <v>#NAME?</v>
      </c>
      <c r="AN855" t="str" cm="1">
        <f t="array" ref="AN855" xml:space="preserve"> _xlfn.IFS(A855&lt;25,"&lt;25",
A855&lt;=35,"25-35",
A855&lt;=45,"36-45",
TRUE,"45+"
)</f>
        <v>&lt;25</v>
      </c>
      <c r="AO855" t="str" cm="1">
        <f t="array" ref="AO855">_xlfn.IFS(S855&lt;5000,"Low",
S855&lt;=15000,"Medium",
TRUE,"High")</f>
        <v>Low</v>
      </c>
    </row>
    <row r="856" spans="1:41" hidden="1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 t="str">
        <f t="shared" si="39"/>
        <v>Active</v>
      </c>
      <c r="AK856">
        <f t="shared" ca="1" si="40"/>
        <v>2018</v>
      </c>
      <c r="AL856">
        <f t="shared" si="41"/>
        <v>0</v>
      </c>
      <c r="AM856" t="e" cm="1">
        <f t="array" aca="1" ref="AM856" ca="1">IF(B856="Yes",YEAR(TODAY()),BLANK())</f>
        <v>#NAME?</v>
      </c>
      <c r="AN856" t="str" cm="1">
        <f t="array" ref="AN856" xml:space="preserve"> _xlfn.IFS(A856&lt;25,"&lt;25",
A856&lt;=35,"25-35",
A856&lt;=45,"36-45",
TRUE,"45+"
)</f>
        <v>36-45</v>
      </c>
      <c r="AO856" t="str" cm="1">
        <f t="array" ref="AO856">_xlfn.IFS(S856&lt;5000,"Low",
S856&lt;=15000,"Medium",
TRUE,"High")</f>
        <v>Low</v>
      </c>
    </row>
    <row r="857" spans="1:41" hidden="1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 t="str">
        <f t="shared" si="39"/>
        <v>Active</v>
      </c>
      <c r="AK857">
        <f t="shared" ca="1" si="40"/>
        <v>2011</v>
      </c>
      <c r="AL857">
        <f t="shared" si="41"/>
        <v>0</v>
      </c>
      <c r="AM857" t="e" cm="1">
        <f t="array" aca="1" ref="AM857" ca="1">IF(B857="Yes",YEAR(TODAY()),BLANK())</f>
        <v>#NAME?</v>
      </c>
      <c r="AN857" t="str" cm="1">
        <f t="array" ref="AN857" xml:space="preserve"> _xlfn.IFS(A857&lt;25,"&lt;25",
A857&lt;=35,"25-35",
A857&lt;=45,"36-45",
TRUE,"45+"
)</f>
        <v>36-45</v>
      </c>
      <c r="AO857" t="str" cm="1">
        <f t="array" ref="AO857">_xlfn.IFS(S857&lt;5000,"Low",
S857&lt;=15000,"Medium",
TRUE,"High")</f>
        <v>Medium</v>
      </c>
    </row>
    <row r="858" spans="1:41" hidden="1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 t="str">
        <f t="shared" si="39"/>
        <v>Active</v>
      </c>
      <c r="AK858">
        <f t="shared" ca="1" si="40"/>
        <v>2023</v>
      </c>
      <c r="AL858">
        <f t="shared" si="41"/>
        <v>0</v>
      </c>
      <c r="AM858" t="e" cm="1">
        <f t="array" aca="1" ref="AM858" ca="1">IF(B858="Yes",YEAR(TODAY()),BLANK())</f>
        <v>#NAME?</v>
      </c>
      <c r="AN858" t="str" cm="1">
        <f t="array" ref="AN858" xml:space="preserve"> _xlfn.IFS(A858&lt;25,"&lt;25",
A858&lt;=35,"25-35",
A858&lt;=45,"36-45",
TRUE,"45+"
)</f>
        <v>&lt;25</v>
      </c>
      <c r="AO858" t="str" cm="1">
        <f t="array" ref="AO858">_xlfn.IFS(S858&lt;5000,"Low",
S858&lt;=15000,"Medium",
TRUE,"High")</f>
        <v>Low</v>
      </c>
    </row>
    <row r="859" spans="1:41" hidden="1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 t="str">
        <f t="shared" si="39"/>
        <v>Resigned</v>
      </c>
      <c r="AK859">
        <f t="shared" ca="1" si="40"/>
        <v>2019</v>
      </c>
      <c r="AL859">
        <f t="shared" si="41"/>
        <v>1</v>
      </c>
      <c r="AM859" cm="1">
        <f t="array" aca="1" ref="AM859" ca="1">IF(B859="Yes",YEAR(TODAY()),BLANK())</f>
        <v>2025</v>
      </c>
      <c r="AN859" t="str" cm="1">
        <f t="array" ref="AN859" xml:space="preserve"> _xlfn.IFS(A859&lt;25,"&lt;25",
A859&lt;=35,"25-35",
A859&lt;=45,"36-45",
TRUE,"45+"
)</f>
        <v>36-45</v>
      </c>
      <c r="AO859" t="str" cm="1">
        <f t="array" ref="AO859">_xlfn.IFS(S859&lt;5000,"Low",
S859&lt;=15000,"Medium",
TRUE,"High")</f>
        <v>Low</v>
      </c>
    </row>
    <row r="860" spans="1:41" hidden="1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 t="str">
        <f t="shared" si="39"/>
        <v>Active</v>
      </c>
      <c r="AK860">
        <f t="shared" ca="1" si="40"/>
        <v>1999</v>
      </c>
      <c r="AL860">
        <f t="shared" si="41"/>
        <v>0</v>
      </c>
      <c r="AM860" t="e" cm="1">
        <f t="array" aca="1" ref="AM860" ca="1">IF(B860="Yes",YEAR(TODAY()),BLANK())</f>
        <v>#NAME?</v>
      </c>
      <c r="AN860" t="str" cm="1">
        <f t="array" ref="AN860" xml:space="preserve"> _xlfn.IFS(A860&lt;25,"&lt;25",
A860&lt;=35,"25-35",
A860&lt;=45,"36-45",
TRUE,"45+"
)</f>
        <v>45+</v>
      </c>
      <c r="AO860" t="str" cm="1">
        <f t="array" ref="AO860">_xlfn.IFS(S860&lt;5000,"Low",
S860&lt;=15000,"Medium",
TRUE,"High")</f>
        <v>High</v>
      </c>
    </row>
    <row r="861" spans="1:41" hidden="1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 t="str">
        <f t="shared" si="39"/>
        <v>Active</v>
      </c>
      <c r="AK861">
        <f t="shared" ca="1" si="40"/>
        <v>2019</v>
      </c>
      <c r="AL861">
        <f t="shared" si="41"/>
        <v>0</v>
      </c>
      <c r="AM861" t="e" cm="1">
        <f t="array" aca="1" ref="AM861" ca="1">IF(B861="Yes",YEAR(TODAY()),BLANK())</f>
        <v>#NAME?</v>
      </c>
      <c r="AN861" t="str" cm="1">
        <f t="array" ref="AN861" xml:space="preserve"> _xlfn.IFS(A861&lt;25,"&lt;25",
A861&lt;=35,"25-35",
A861&lt;=45,"36-45",
TRUE,"45+"
)</f>
        <v>25-35</v>
      </c>
      <c r="AO861" t="str" cm="1">
        <f t="array" ref="AO861">_xlfn.IFS(S861&lt;5000,"Low",
S861&lt;=15000,"Medium",
TRUE,"High")</f>
        <v>Low</v>
      </c>
    </row>
    <row r="862" spans="1:41" hidden="1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 t="str">
        <f t="shared" si="39"/>
        <v>Resigned</v>
      </c>
      <c r="AK862">
        <f t="shared" ca="1" si="40"/>
        <v>2024</v>
      </c>
      <c r="AL862">
        <f t="shared" si="41"/>
        <v>1</v>
      </c>
      <c r="AM862" cm="1">
        <f t="array" aca="1" ref="AM862" ca="1">IF(B862="Yes",YEAR(TODAY()),BLANK())</f>
        <v>2025</v>
      </c>
      <c r="AN862" t="str" cm="1">
        <f t="array" ref="AN862" xml:space="preserve"> _xlfn.IFS(A862&lt;25,"&lt;25",
A862&lt;=35,"25-35",
A862&lt;=45,"36-45",
TRUE,"45+"
)</f>
        <v>&lt;25</v>
      </c>
      <c r="AO862" t="str" cm="1">
        <f t="array" ref="AO862">_xlfn.IFS(S862&lt;5000,"Low",
S862&lt;=15000,"Medium",
TRUE,"High")</f>
        <v>Low</v>
      </c>
    </row>
    <row r="863" spans="1:41" hidden="1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 t="str">
        <f t="shared" si="39"/>
        <v>Active</v>
      </c>
      <c r="AK863">
        <f t="shared" ca="1" si="40"/>
        <v>1997</v>
      </c>
      <c r="AL863">
        <f t="shared" si="41"/>
        <v>0</v>
      </c>
      <c r="AM863" t="e" cm="1">
        <f t="array" aca="1" ref="AM863" ca="1">IF(B863="Yes",YEAR(TODAY()),BLANK())</f>
        <v>#NAME?</v>
      </c>
      <c r="AN863" t="str" cm="1">
        <f t="array" ref="AN863" xml:space="preserve"> _xlfn.IFS(A863&lt;25,"&lt;25",
A863&lt;=35,"25-35",
A863&lt;=45,"36-45",
TRUE,"45+"
)</f>
        <v>45+</v>
      </c>
      <c r="AO863" t="str" cm="1">
        <f t="array" ref="AO863">_xlfn.IFS(S863&lt;5000,"Low",
S863&lt;=15000,"Medium",
TRUE,"High")</f>
        <v>High</v>
      </c>
    </row>
    <row r="864" spans="1:41" hidden="1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 t="str">
        <f t="shared" si="39"/>
        <v>Active</v>
      </c>
      <c r="AK864">
        <f t="shared" ca="1" si="40"/>
        <v>2019</v>
      </c>
      <c r="AL864">
        <f t="shared" si="41"/>
        <v>0</v>
      </c>
      <c r="AM864" t="e" cm="1">
        <f t="array" aca="1" ref="AM864" ca="1">IF(B864="Yes",YEAR(TODAY()),BLANK())</f>
        <v>#NAME?</v>
      </c>
      <c r="AN864" t="str" cm="1">
        <f t="array" ref="AN864" xml:space="preserve"> _xlfn.IFS(A864&lt;25,"&lt;25",
A864&lt;=35,"25-35",
A864&lt;=45,"36-45",
TRUE,"45+"
)</f>
        <v>36-45</v>
      </c>
      <c r="AO864" t="str" cm="1">
        <f t="array" ref="AO864">_xlfn.IFS(S864&lt;5000,"Low",
S864&lt;=15000,"Medium",
TRUE,"High")</f>
        <v>Low</v>
      </c>
    </row>
    <row r="865" spans="1:41" hidden="1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 t="str">
        <f t="shared" si="39"/>
        <v>Active</v>
      </c>
      <c r="AK865">
        <f t="shared" ca="1" si="40"/>
        <v>2020</v>
      </c>
      <c r="AL865">
        <f t="shared" si="41"/>
        <v>0</v>
      </c>
      <c r="AM865" t="e" cm="1">
        <f t="array" aca="1" ref="AM865" ca="1">IF(B865="Yes",YEAR(TODAY()),BLANK())</f>
        <v>#NAME?</v>
      </c>
      <c r="AN865" t="str" cm="1">
        <f t="array" ref="AN865" xml:space="preserve"> _xlfn.IFS(A865&lt;25,"&lt;25",
A865&lt;=35,"25-35",
A865&lt;=45,"36-45",
TRUE,"45+"
)</f>
        <v>25-35</v>
      </c>
      <c r="AO865" t="str" cm="1">
        <f t="array" ref="AO865">_xlfn.IFS(S865&lt;5000,"Low",
S865&lt;=15000,"Medium",
TRUE,"High")</f>
        <v>Low</v>
      </c>
    </row>
    <row r="866" spans="1:41" hidden="1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 t="str">
        <f t="shared" si="39"/>
        <v>Resigned</v>
      </c>
      <c r="AK866">
        <f t="shared" ca="1" si="40"/>
        <v>2020</v>
      </c>
      <c r="AL866">
        <f t="shared" si="41"/>
        <v>1</v>
      </c>
      <c r="AM866" cm="1">
        <f t="array" aca="1" ref="AM866" ca="1">IF(B866="Yes",YEAR(TODAY()),BLANK())</f>
        <v>2025</v>
      </c>
      <c r="AN866" t="str" cm="1">
        <f t="array" ref="AN866" xml:space="preserve"> _xlfn.IFS(A866&lt;25,"&lt;25",
A866&lt;=35,"25-35",
A866&lt;=45,"36-45",
TRUE,"45+"
)</f>
        <v>36-45</v>
      </c>
      <c r="AO866" t="str" cm="1">
        <f t="array" ref="AO866">_xlfn.IFS(S866&lt;5000,"Low",
S866&lt;=15000,"Medium",
TRUE,"High")</f>
        <v>Low</v>
      </c>
    </row>
    <row r="867" spans="1:41" hidden="1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 t="str">
        <f t="shared" si="39"/>
        <v>Active</v>
      </c>
      <c r="AK867">
        <f t="shared" ca="1" si="40"/>
        <v>2017</v>
      </c>
      <c r="AL867">
        <f t="shared" si="41"/>
        <v>0</v>
      </c>
      <c r="AM867" t="e" cm="1">
        <f t="array" aca="1" ref="AM867" ca="1">IF(B867="Yes",YEAR(TODAY()),BLANK())</f>
        <v>#NAME?</v>
      </c>
      <c r="AN867" t="str" cm="1">
        <f t="array" ref="AN867" xml:space="preserve"> _xlfn.IFS(A867&lt;25,"&lt;25",
A867&lt;=35,"25-35",
A867&lt;=45,"36-45",
TRUE,"45+"
)</f>
        <v>25-35</v>
      </c>
      <c r="AO867" t="str" cm="1">
        <f t="array" ref="AO867">_xlfn.IFS(S867&lt;5000,"Low",
S867&lt;=15000,"Medium",
TRUE,"High")</f>
        <v>Low</v>
      </c>
    </row>
    <row r="868" spans="1:41" hidden="1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 t="str">
        <f t="shared" si="39"/>
        <v>Active</v>
      </c>
      <c r="AK868">
        <f t="shared" ca="1" si="40"/>
        <v>2020</v>
      </c>
      <c r="AL868">
        <f t="shared" si="41"/>
        <v>0</v>
      </c>
      <c r="AM868" t="e" cm="1">
        <f t="array" aca="1" ref="AM868" ca="1">IF(B868="Yes",YEAR(TODAY()),BLANK())</f>
        <v>#NAME?</v>
      </c>
      <c r="AN868" t="str" cm="1">
        <f t="array" ref="AN868" xml:space="preserve"> _xlfn.IFS(A868&lt;25,"&lt;25",
A868&lt;=35,"25-35",
A868&lt;=45,"36-45",
TRUE,"45+"
)</f>
        <v>36-45</v>
      </c>
      <c r="AO868" t="str" cm="1">
        <f t="array" ref="AO868">_xlfn.IFS(S868&lt;5000,"Low",
S868&lt;=15000,"Medium",
TRUE,"High")</f>
        <v>Low</v>
      </c>
    </row>
    <row r="869" spans="1:41" hidden="1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 t="str">
        <f t="shared" si="39"/>
        <v>Active</v>
      </c>
      <c r="AK869">
        <f t="shared" ca="1" si="40"/>
        <v>1993</v>
      </c>
      <c r="AL869">
        <f t="shared" si="41"/>
        <v>0</v>
      </c>
      <c r="AM869" t="e" cm="1">
        <f t="array" aca="1" ref="AM869" ca="1">IF(B869="Yes",YEAR(TODAY()),BLANK())</f>
        <v>#NAME?</v>
      </c>
      <c r="AN869" t="str" cm="1">
        <f t="array" ref="AN869" xml:space="preserve"> _xlfn.IFS(A869&lt;25,"&lt;25",
A869&lt;=35,"25-35",
A869&lt;=45,"36-45",
TRUE,"45+"
)</f>
        <v>45+</v>
      </c>
      <c r="AO869" t="str" cm="1">
        <f t="array" ref="AO869">_xlfn.IFS(S869&lt;5000,"Low",
S869&lt;=15000,"Medium",
TRUE,"High")</f>
        <v>High</v>
      </c>
    </row>
    <row r="870" spans="1:41" hidden="1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 t="str">
        <f t="shared" si="39"/>
        <v>Active</v>
      </c>
      <c r="AK870">
        <f t="shared" ca="1" si="40"/>
        <v>2019</v>
      </c>
      <c r="AL870">
        <f t="shared" si="41"/>
        <v>0</v>
      </c>
      <c r="AM870" t="e" cm="1">
        <f t="array" aca="1" ref="AM870" ca="1">IF(B870="Yes",YEAR(TODAY()),BLANK())</f>
        <v>#NAME?</v>
      </c>
      <c r="AN870" t="str" cm="1">
        <f t="array" ref="AN870" xml:space="preserve"> _xlfn.IFS(A870&lt;25,"&lt;25",
A870&lt;=35,"25-35",
A870&lt;=45,"36-45",
TRUE,"45+"
)</f>
        <v>25-35</v>
      </c>
      <c r="AO870" t="str" cm="1">
        <f t="array" ref="AO870">_xlfn.IFS(S870&lt;5000,"Low",
S870&lt;=15000,"Medium",
TRUE,"High")</f>
        <v>Low</v>
      </c>
    </row>
    <row r="871" spans="1:41" hidden="1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 t="str">
        <f t="shared" si="39"/>
        <v>Active</v>
      </c>
      <c r="AK871">
        <f t="shared" ca="1" si="40"/>
        <v>2000</v>
      </c>
      <c r="AL871">
        <f t="shared" si="41"/>
        <v>0</v>
      </c>
      <c r="AM871" t="e" cm="1">
        <f t="array" aca="1" ref="AM871" ca="1">IF(B871="Yes",YEAR(TODAY()),BLANK())</f>
        <v>#NAME?</v>
      </c>
      <c r="AN871" t="str" cm="1">
        <f t="array" ref="AN871" xml:space="preserve"> _xlfn.IFS(A871&lt;25,"&lt;25",
A871&lt;=35,"25-35",
A871&lt;=45,"36-45",
TRUE,"45+"
)</f>
        <v>45+</v>
      </c>
      <c r="AO871" t="str" cm="1">
        <f t="array" ref="AO871">_xlfn.IFS(S871&lt;5000,"Low",
S871&lt;=15000,"Medium",
TRUE,"High")</f>
        <v>High</v>
      </c>
    </row>
    <row r="872" spans="1:41" hidden="1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 t="str">
        <f t="shared" si="39"/>
        <v>Active</v>
      </c>
      <c r="AK872">
        <f t="shared" ca="1" si="40"/>
        <v>2010</v>
      </c>
      <c r="AL872">
        <f t="shared" si="41"/>
        <v>0</v>
      </c>
      <c r="AM872" t="e" cm="1">
        <f t="array" aca="1" ref="AM872" ca="1">IF(B872="Yes",YEAR(TODAY()),BLANK())</f>
        <v>#NAME?</v>
      </c>
      <c r="AN872" t="str" cm="1">
        <f t="array" ref="AN872" xml:space="preserve"> _xlfn.IFS(A872&lt;25,"&lt;25",
A872&lt;=35,"25-35",
A872&lt;=45,"36-45",
TRUE,"45+"
)</f>
        <v>25-35</v>
      </c>
      <c r="AO872" t="str" cm="1">
        <f t="array" ref="AO872">_xlfn.IFS(S872&lt;5000,"Low",
S872&lt;=15000,"Medium",
TRUE,"High")</f>
        <v>Medium</v>
      </c>
    </row>
    <row r="873" spans="1:41" hidden="1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 t="str">
        <f t="shared" si="39"/>
        <v>Resigned</v>
      </c>
      <c r="AK873">
        <f t="shared" ca="1" si="40"/>
        <v>2024</v>
      </c>
      <c r="AL873">
        <f t="shared" si="41"/>
        <v>1</v>
      </c>
      <c r="AM873" cm="1">
        <f t="array" aca="1" ref="AM873" ca="1">IF(B873="Yes",YEAR(TODAY()),BLANK())</f>
        <v>2025</v>
      </c>
      <c r="AN873" t="str" cm="1">
        <f t="array" ref="AN873" xml:space="preserve"> _xlfn.IFS(A873&lt;25,"&lt;25",
A873&lt;=35,"25-35",
A873&lt;=45,"36-45",
TRUE,"45+"
)</f>
        <v>&lt;25</v>
      </c>
      <c r="AO873" t="str" cm="1">
        <f t="array" ref="AO873">_xlfn.IFS(S873&lt;5000,"Low",
S873&lt;=15000,"Medium",
TRUE,"High")</f>
        <v>Low</v>
      </c>
    </row>
    <row r="874" spans="1:41" hidden="1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 t="str">
        <f t="shared" si="39"/>
        <v>Active</v>
      </c>
      <c r="AK874">
        <f t="shared" ca="1" si="40"/>
        <v>2015</v>
      </c>
      <c r="AL874">
        <f t="shared" si="41"/>
        <v>0</v>
      </c>
      <c r="AM874" t="e" cm="1">
        <f t="array" aca="1" ref="AM874" ca="1">IF(B874="Yes",YEAR(TODAY()),BLANK())</f>
        <v>#NAME?</v>
      </c>
      <c r="AN874" t="str" cm="1">
        <f t="array" ref="AN874" xml:space="preserve"> _xlfn.IFS(A874&lt;25,"&lt;25",
A874&lt;=35,"25-35",
A874&lt;=45,"36-45",
TRUE,"45+"
)</f>
        <v>25-35</v>
      </c>
      <c r="AO874" t="str" cm="1">
        <f t="array" ref="AO874">_xlfn.IFS(S874&lt;5000,"Low",
S874&lt;=15000,"Medium",
TRUE,"High")</f>
        <v>Low</v>
      </c>
    </row>
    <row r="875" spans="1:41" hidden="1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 t="str">
        <f t="shared" si="39"/>
        <v>Active</v>
      </c>
      <c r="AK875">
        <f t="shared" ca="1" si="40"/>
        <v>2018</v>
      </c>
      <c r="AL875">
        <f t="shared" si="41"/>
        <v>0</v>
      </c>
      <c r="AM875" t="e" cm="1">
        <f t="array" aca="1" ref="AM875" ca="1">IF(B875="Yes",YEAR(TODAY()),BLANK())</f>
        <v>#NAME?</v>
      </c>
      <c r="AN875" t="str" cm="1">
        <f t="array" ref="AN875" xml:space="preserve"> _xlfn.IFS(A875&lt;25,"&lt;25",
A875&lt;=35,"25-35",
A875&lt;=45,"36-45",
TRUE,"45+"
)</f>
        <v>36-45</v>
      </c>
      <c r="AO875" t="str" cm="1">
        <f t="array" ref="AO875">_xlfn.IFS(S875&lt;5000,"Low",
S875&lt;=15000,"Medium",
TRUE,"High")</f>
        <v>Low</v>
      </c>
    </row>
    <row r="876" spans="1:41" hidden="1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 t="str">
        <f t="shared" si="39"/>
        <v>Active</v>
      </c>
      <c r="AK876">
        <f t="shared" ca="1" si="40"/>
        <v>2015</v>
      </c>
      <c r="AL876">
        <f t="shared" si="41"/>
        <v>0</v>
      </c>
      <c r="AM876" t="e" cm="1">
        <f t="array" aca="1" ref="AM876" ca="1">IF(B876="Yes",YEAR(TODAY()),BLANK())</f>
        <v>#NAME?</v>
      </c>
      <c r="AN876" t="str" cm="1">
        <f t="array" ref="AN876" xml:space="preserve"> _xlfn.IFS(A876&lt;25,"&lt;25",
A876&lt;=35,"25-35",
A876&lt;=45,"36-45",
TRUE,"45+"
)</f>
        <v>25-35</v>
      </c>
      <c r="AO876" t="str" cm="1">
        <f t="array" ref="AO876">_xlfn.IFS(S876&lt;5000,"Low",
S876&lt;=15000,"Medium",
TRUE,"High")</f>
        <v>Low</v>
      </c>
    </row>
    <row r="877" spans="1:41" hidden="1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 t="str">
        <f t="shared" si="39"/>
        <v>Active</v>
      </c>
      <c r="AK877">
        <f t="shared" ca="1" si="40"/>
        <v>2005</v>
      </c>
      <c r="AL877">
        <f t="shared" si="41"/>
        <v>0</v>
      </c>
      <c r="AM877" t="e" cm="1">
        <f t="array" aca="1" ref="AM877" ca="1">IF(B877="Yes",YEAR(TODAY()),BLANK())</f>
        <v>#NAME?</v>
      </c>
      <c r="AN877" t="str" cm="1">
        <f t="array" ref="AN877" xml:space="preserve"> _xlfn.IFS(A877&lt;25,"&lt;25",
A877&lt;=35,"25-35",
A877&lt;=45,"36-45",
TRUE,"45+"
)</f>
        <v>36-45</v>
      </c>
      <c r="AO877" t="str" cm="1">
        <f t="array" ref="AO877">_xlfn.IFS(S877&lt;5000,"Low",
S877&lt;=15000,"Medium",
TRUE,"High")</f>
        <v>Low</v>
      </c>
    </row>
    <row r="878" spans="1:41" hidden="1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 t="str">
        <f t="shared" si="39"/>
        <v>Active</v>
      </c>
      <c r="AK878">
        <f t="shared" ca="1" si="40"/>
        <v>2023</v>
      </c>
      <c r="AL878">
        <f t="shared" si="41"/>
        <v>0</v>
      </c>
      <c r="AM878" t="e" cm="1">
        <f t="array" aca="1" ref="AM878" ca="1">IF(B878="Yes",YEAR(TODAY()),BLANK())</f>
        <v>#NAME?</v>
      </c>
      <c r="AN878" t="str" cm="1">
        <f t="array" ref="AN878" xml:space="preserve"> _xlfn.IFS(A878&lt;25,"&lt;25",
A878&lt;=35,"25-35",
A878&lt;=45,"36-45",
TRUE,"45+"
)</f>
        <v>&lt;25</v>
      </c>
      <c r="AO878" t="str" cm="1">
        <f t="array" ref="AO878">_xlfn.IFS(S878&lt;5000,"Low",
S878&lt;=15000,"Medium",
TRUE,"High")</f>
        <v>Low</v>
      </c>
    </row>
    <row r="879" spans="1:41" hidden="1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 t="str">
        <f t="shared" si="39"/>
        <v>Active</v>
      </c>
      <c r="AK879">
        <f t="shared" ca="1" si="40"/>
        <v>2013</v>
      </c>
      <c r="AL879">
        <f t="shared" si="41"/>
        <v>0</v>
      </c>
      <c r="AM879" t="e" cm="1">
        <f t="array" aca="1" ref="AM879" ca="1">IF(B879="Yes",YEAR(TODAY()),BLANK())</f>
        <v>#NAME?</v>
      </c>
      <c r="AN879" t="str" cm="1">
        <f t="array" ref="AN879" xml:space="preserve"> _xlfn.IFS(A879&lt;25,"&lt;25",
A879&lt;=35,"25-35",
A879&lt;=45,"36-45",
TRUE,"45+"
)</f>
        <v>45+</v>
      </c>
      <c r="AO879" t="str" cm="1">
        <f t="array" ref="AO879">_xlfn.IFS(S879&lt;5000,"Low",
S879&lt;=15000,"Medium",
TRUE,"High")</f>
        <v>Medium</v>
      </c>
    </row>
    <row r="880" spans="1:41" hidden="1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 t="str">
        <f t="shared" si="39"/>
        <v>Active</v>
      </c>
      <c r="AK880">
        <f t="shared" ca="1" si="40"/>
        <v>2015</v>
      </c>
      <c r="AL880">
        <f t="shared" si="41"/>
        <v>0</v>
      </c>
      <c r="AM880" t="e" cm="1">
        <f t="array" aca="1" ref="AM880" ca="1">IF(B880="Yes",YEAR(TODAY()),BLANK())</f>
        <v>#NAME?</v>
      </c>
      <c r="AN880" t="str" cm="1">
        <f t="array" ref="AN880" xml:space="preserve"> _xlfn.IFS(A880&lt;25,"&lt;25",
A880&lt;=35,"25-35",
A880&lt;=45,"36-45",
TRUE,"45+"
)</f>
        <v>36-45</v>
      </c>
      <c r="AO880" t="str" cm="1">
        <f t="array" ref="AO880">_xlfn.IFS(S880&lt;5000,"Low",
S880&lt;=15000,"Medium",
TRUE,"High")</f>
        <v>Medium</v>
      </c>
    </row>
    <row r="881" spans="1:41" hidden="1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 t="str">
        <f t="shared" si="39"/>
        <v>Active</v>
      </c>
      <c r="AK881">
        <f t="shared" ca="1" si="40"/>
        <v>2013</v>
      </c>
      <c r="AL881">
        <f t="shared" si="41"/>
        <v>0</v>
      </c>
      <c r="AM881" t="e" cm="1">
        <f t="array" aca="1" ref="AM881" ca="1">IF(B881="Yes",YEAR(TODAY()),BLANK())</f>
        <v>#NAME?</v>
      </c>
      <c r="AN881" t="str" cm="1">
        <f t="array" ref="AN881" xml:space="preserve"> _xlfn.IFS(A881&lt;25,"&lt;25",
A881&lt;=35,"25-35",
A881&lt;=45,"36-45",
TRUE,"45+"
)</f>
        <v>45+</v>
      </c>
      <c r="AO881" t="str" cm="1">
        <f t="array" ref="AO881">_xlfn.IFS(S881&lt;5000,"Low",
S881&lt;=15000,"Medium",
TRUE,"High")</f>
        <v>Medium</v>
      </c>
    </row>
    <row r="882" spans="1:41" hidden="1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 t="str">
        <f t="shared" si="39"/>
        <v>Active</v>
      </c>
      <c r="AK882">
        <f t="shared" ca="1" si="40"/>
        <v>2023</v>
      </c>
      <c r="AL882">
        <f t="shared" si="41"/>
        <v>0</v>
      </c>
      <c r="AM882" t="e" cm="1">
        <f t="array" aca="1" ref="AM882" ca="1">IF(B882="Yes",YEAR(TODAY()),BLANK())</f>
        <v>#NAME?</v>
      </c>
      <c r="AN882" t="str" cm="1">
        <f t="array" ref="AN882" xml:space="preserve"> _xlfn.IFS(A882&lt;25,"&lt;25",
A882&lt;=35,"25-35",
A882&lt;=45,"36-45",
TRUE,"45+"
)</f>
        <v>25-35</v>
      </c>
      <c r="AO882" t="str" cm="1">
        <f t="array" ref="AO882">_xlfn.IFS(S882&lt;5000,"Low",
S882&lt;=15000,"Medium",
TRUE,"High")</f>
        <v>Low</v>
      </c>
    </row>
    <row r="883" spans="1:41" hidden="1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 t="str">
        <f t="shared" si="39"/>
        <v>Active</v>
      </c>
      <c r="AK883">
        <f t="shared" ca="1" si="40"/>
        <v>2015</v>
      </c>
      <c r="AL883">
        <f t="shared" si="41"/>
        <v>0</v>
      </c>
      <c r="AM883" t="e" cm="1">
        <f t="array" aca="1" ref="AM883" ca="1">IF(B883="Yes",YEAR(TODAY()),BLANK())</f>
        <v>#NAME?</v>
      </c>
      <c r="AN883" t="str" cm="1">
        <f t="array" ref="AN883" xml:space="preserve"> _xlfn.IFS(A883&lt;25,"&lt;25",
A883&lt;=35,"25-35",
A883&lt;=45,"36-45",
TRUE,"45+"
)</f>
        <v>25-35</v>
      </c>
      <c r="AO883" t="str" cm="1">
        <f t="array" ref="AO883">_xlfn.IFS(S883&lt;5000,"Low",
S883&lt;=15000,"Medium",
TRUE,"High")</f>
        <v>Low</v>
      </c>
    </row>
    <row r="884" spans="1:41" hidden="1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 t="str">
        <f t="shared" si="39"/>
        <v>Active</v>
      </c>
      <c r="AK884">
        <f t="shared" ca="1" si="40"/>
        <v>2008</v>
      </c>
      <c r="AL884">
        <f t="shared" si="41"/>
        <v>0</v>
      </c>
      <c r="AM884" t="e" cm="1">
        <f t="array" aca="1" ref="AM884" ca="1">IF(B884="Yes",YEAR(TODAY()),BLANK())</f>
        <v>#NAME?</v>
      </c>
      <c r="AN884" t="str" cm="1">
        <f t="array" ref="AN884" xml:space="preserve"> _xlfn.IFS(A884&lt;25,"&lt;25",
A884&lt;=35,"25-35",
A884&lt;=45,"36-45",
TRUE,"45+"
)</f>
        <v>36-45</v>
      </c>
      <c r="AO884" t="str" cm="1">
        <f t="array" ref="AO884">_xlfn.IFS(S884&lt;5000,"Low",
S884&lt;=15000,"Medium",
TRUE,"High")</f>
        <v>Medium</v>
      </c>
    </row>
    <row r="885" spans="1:41" hidden="1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 t="str">
        <f t="shared" si="39"/>
        <v>Active</v>
      </c>
      <c r="AK885">
        <f t="shared" ca="1" si="40"/>
        <v>2010</v>
      </c>
      <c r="AL885">
        <f t="shared" si="41"/>
        <v>0</v>
      </c>
      <c r="AM885" t="e" cm="1">
        <f t="array" aca="1" ref="AM885" ca="1">IF(B885="Yes",YEAR(TODAY()),BLANK())</f>
        <v>#NAME?</v>
      </c>
      <c r="AN885" t="str" cm="1">
        <f t="array" ref="AN885" xml:space="preserve"> _xlfn.IFS(A885&lt;25,"&lt;25",
A885&lt;=35,"25-35",
A885&lt;=45,"36-45",
TRUE,"45+"
)</f>
        <v>25-35</v>
      </c>
      <c r="AO885" t="str" cm="1">
        <f t="array" ref="AO885">_xlfn.IFS(S885&lt;5000,"Low",
S885&lt;=15000,"Medium",
TRUE,"High")</f>
        <v>Low</v>
      </c>
    </row>
    <row r="886" spans="1:41" hidden="1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 t="str">
        <f t="shared" si="39"/>
        <v>Active</v>
      </c>
      <c r="AK886">
        <f t="shared" ca="1" si="40"/>
        <v>2018</v>
      </c>
      <c r="AL886">
        <f t="shared" si="41"/>
        <v>0</v>
      </c>
      <c r="AM886" t="e" cm="1">
        <f t="array" aca="1" ref="AM886" ca="1">IF(B886="Yes",YEAR(TODAY()),BLANK())</f>
        <v>#NAME?</v>
      </c>
      <c r="AN886" t="str" cm="1">
        <f t="array" ref="AN886" xml:space="preserve"> _xlfn.IFS(A886&lt;25,"&lt;25",
A886&lt;=35,"25-35",
A886&lt;=45,"36-45",
TRUE,"45+"
)</f>
        <v>36-45</v>
      </c>
      <c r="AO886" t="str" cm="1">
        <f t="array" ref="AO886">_xlfn.IFS(S886&lt;5000,"Low",
S886&lt;=15000,"Medium",
TRUE,"High")</f>
        <v>Medium</v>
      </c>
    </row>
    <row r="887" spans="1:41" hidden="1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 t="str">
        <f t="shared" si="39"/>
        <v>Active</v>
      </c>
      <c r="AK887">
        <f t="shared" ca="1" si="40"/>
        <v>2020</v>
      </c>
      <c r="AL887">
        <f t="shared" si="41"/>
        <v>0</v>
      </c>
      <c r="AM887" t="e" cm="1">
        <f t="array" aca="1" ref="AM887" ca="1">IF(B887="Yes",YEAR(TODAY()),BLANK())</f>
        <v>#NAME?</v>
      </c>
      <c r="AN887" t="str" cm="1">
        <f t="array" ref="AN887" xml:space="preserve"> _xlfn.IFS(A887&lt;25,"&lt;25",
A887&lt;=35,"25-35",
A887&lt;=45,"36-45",
TRUE,"45+"
)</f>
        <v>25-35</v>
      </c>
      <c r="AO887" t="str" cm="1">
        <f t="array" ref="AO887">_xlfn.IFS(S887&lt;5000,"Low",
S887&lt;=15000,"Medium",
TRUE,"High")</f>
        <v>Low</v>
      </c>
    </row>
    <row r="888" spans="1:41" hidden="1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 t="str">
        <f t="shared" si="39"/>
        <v>Active</v>
      </c>
      <c r="AK888">
        <f t="shared" ca="1" si="40"/>
        <v>2013</v>
      </c>
      <c r="AL888">
        <f t="shared" si="41"/>
        <v>0</v>
      </c>
      <c r="AM888" t="e" cm="1">
        <f t="array" aca="1" ref="AM888" ca="1">IF(B888="Yes",YEAR(TODAY()),BLANK())</f>
        <v>#NAME?</v>
      </c>
      <c r="AN888" t="str" cm="1">
        <f t="array" ref="AN888" xml:space="preserve"> _xlfn.IFS(A888&lt;25,"&lt;25",
A888&lt;=35,"25-35",
A888&lt;=45,"36-45",
TRUE,"45+"
)</f>
        <v>25-35</v>
      </c>
      <c r="AO888" t="str" cm="1">
        <f t="array" ref="AO888">_xlfn.IFS(S888&lt;5000,"Low",
S888&lt;=15000,"Medium",
TRUE,"High")</f>
        <v>Low</v>
      </c>
    </row>
    <row r="889" spans="1:41" hidden="1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 t="str">
        <f t="shared" si="39"/>
        <v>Active</v>
      </c>
      <c r="AK889">
        <f t="shared" ca="1" si="40"/>
        <v>2005</v>
      </c>
      <c r="AL889">
        <f t="shared" si="41"/>
        <v>0</v>
      </c>
      <c r="AM889" t="e" cm="1">
        <f t="array" aca="1" ref="AM889" ca="1">IF(B889="Yes",YEAR(TODAY()),BLANK())</f>
        <v>#NAME?</v>
      </c>
      <c r="AN889" t="str" cm="1">
        <f t="array" ref="AN889" xml:space="preserve"> _xlfn.IFS(A889&lt;25,"&lt;25",
A889&lt;=35,"25-35",
A889&lt;=45,"36-45",
TRUE,"45+"
)</f>
        <v>36-45</v>
      </c>
      <c r="AO889" t="str" cm="1">
        <f t="array" ref="AO889">_xlfn.IFS(S889&lt;5000,"Low",
S889&lt;=15000,"Medium",
TRUE,"High")</f>
        <v>Medium</v>
      </c>
    </row>
    <row r="890" spans="1:41" hidden="1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 t="str">
        <f t="shared" si="39"/>
        <v>Active</v>
      </c>
      <c r="AK890">
        <f t="shared" ca="1" si="40"/>
        <v>2009</v>
      </c>
      <c r="AL890">
        <f t="shared" si="41"/>
        <v>0</v>
      </c>
      <c r="AM890" t="e" cm="1">
        <f t="array" aca="1" ref="AM890" ca="1">IF(B890="Yes",YEAR(TODAY()),BLANK())</f>
        <v>#NAME?</v>
      </c>
      <c r="AN890" t="str" cm="1">
        <f t="array" ref="AN890" xml:space="preserve"> _xlfn.IFS(A890&lt;25,"&lt;25",
A890&lt;=35,"25-35",
A890&lt;=45,"36-45",
TRUE,"45+"
)</f>
        <v>25-35</v>
      </c>
      <c r="AO890" t="str" cm="1">
        <f t="array" ref="AO890">_xlfn.IFS(S890&lt;5000,"Low",
S890&lt;=15000,"Medium",
TRUE,"High")</f>
        <v>Medium</v>
      </c>
    </row>
    <row r="891" spans="1:41" hidden="1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 t="str">
        <f t="shared" si="39"/>
        <v>Active</v>
      </c>
      <c r="AK891">
        <f t="shared" ca="1" si="40"/>
        <v>2016</v>
      </c>
      <c r="AL891">
        <f t="shared" si="41"/>
        <v>0</v>
      </c>
      <c r="AM891" t="e" cm="1">
        <f t="array" aca="1" ref="AM891" ca="1">IF(B891="Yes",YEAR(TODAY()),BLANK())</f>
        <v>#NAME?</v>
      </c>
      <c r="AN891" t="str" cm="1">
        <f t="array" ref="AN891" xml:space="preserve"> _xlfn.IFS(A891&lt;25,"&lt;25",
A891&lt;=35,"25-35",
A891&lt;=45,"36-45",
TRUE,"45+"
)</f>
        <v>25-35</v>
      </c>
      <c r="AO891" t="str" cm="1">
        <f t="array" ref="AO891">_xlfn.IFS(S891&lt;5000,"Low",
S891&lt;=15000,"Medium",
TRUE,"High")</f>
        <v>Low</v>
      </c>
    </row>
    <row r="892" spans="1:41" hidden="1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 t="str">
        <f t="shared" si="39"/>
        <v>Active</v>
      </c>
      <c r="AK892">
        <f t="shared" ca="1" si="40"/>
        <v>1992</v>
      </c>
      <c r="AL892">
        <f t="shared" si="41"/>
        <v>0</v>
      </c>
      <c r="AM892" t="e" cm="1">
        <f t="array" aca="1" ref="AM892" ca="1">IF(B892="Yes",YEAR(TODAY()),BLANK())</f>
        <v>#NAME?</v>
      </c>
      <c r="AN892" t="str" cm="1">
        <f t="array" ref="AN892" xml:space="preserve"> _xlfn.IFS(A892&lt;25,"&lt;25",
A892&lt;=35,"25-35",
A892&lt;=45,"36-45",
TRUE,"45+"
)</f>
        <v>45+</v>
      </c>
      <c r="AO892" t="str" cm="1">
        <f t="array" ref="AO892">_xlfn.IFS(S892&lt;5000,"Low",
S892&lt;=15000,"Medium",
TRUE,"High")</f>
        <v>Medium</v>
      </c>
    </row>
    <row r="893" spans="1:41" hidden="1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 t="str">
        <f t="shared" si="39"/>
        <v>Active</v>
      </c>
      <c r="AK893">
        <f t="shared" ca="1" si="40"/>
        <v>2015</v>
      </c>
      <c r="AL893">
        <f t="shared" si="41"/>
        <v>0</v>
      </c>
      <c r="AM893" t="e" cm="1">
        <f t="array" aca="1" ref="AM893" ca="1">IF(B893="Yes",YEAR(TODAY()),BLANK())</f>
        <v>#NAME?</v>
      </c>
      <c r="AN893" t="str" cm="1">
        <f t="array" ref="AN893" xml:space="preserve"> _xlfn.IFS(A893&lt;25,"&lt;25",
A893&lt;=35,"25-35",
A893&lt;=45,"36-45",
TRUE,"45+"
)</f>
        <v>36-45</v>
      </c>
      <c r="AO893" t="str" cm="1">
        <f t="array" ref="AO893">_xlfn.IFS(S893&lt;5000,"Low",
S893&lt;=15000,"Medium",
TRUE,"High")</f>
        <v>Low</v>
      </c>
    </row>
    <row r="894" spans="1:41" hidden="1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 t="str">
        <f t="shared" si="39"/>
        <v>Resigned</v>
      </c>
      <c r="AK894">
        <f t="shared" ca="1" si="40"/>
        <v>2024</v>
      </c>
      <c r="AL894">
        <f t="shared" si="41"/>
        <v>1</v>
      </c>
      <c r="AM894" cm="1">
        <f t="array" aca="1" ref="AM894" ca="1">IF(B894="Yes",YEAR(TODAY()),BLANK())</f>
        <v>2025</v>
      </c>
      <c r="AN894" t="str" cm="1">
        <f t="array" ref="AN894" xml:space="preserve"> _xlfn.IFS(A894&lt;25,"&lt;25",
A894&lt;=35,"25-35",
A894&lt;=45,"36-45",
TRUE,"45+"
)</f>
        <v>&lt;25</v>
      </c>
      <c r="AO894" t="str" cm="1">
        <f t="array" ref="AO894">_xlfn.IFS(S894&lt;5000,"Low",
S894&lt;=15000,"Medium",
TRUE,"High")</f>
        <v>Low</v>
      </c>
    </row>
    <row r="895" spans="1:41" hidden="1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 t="str">
        <f t="shared" si="39"/>
        <v>Active</v>
      </c>
      <c r="AK895">
        <f t="shared" ca="1" si="40"/>
        <v>2022</v>
      </c>
      <c r="AL895">
        <f t="shared" si="41"/>
        <v>0</v>
      </c>
      <c r="AM895" t="e" cm="1">
        <f t="array" aca="1" ref="AM895" ca="1">IF(B895="Yes",YEAR(TODAY()),BLANK())</f>
        <v>#NAME?</v>
      </c>
      <c r="AN895" t="str" cm="1">
        <f t="array" ref="AN895" xml:space="preserve"> _xlfn.IFS(A895&lt;25,"&lt;25",
A895&lt;=35,"25-35",
A895&lt;=45,"36-45",
TRUE,"45+"
)</f>
        <v>25-35</v>
      </c>
      <c r="AO895" t="str" cm="1">
        <f t="array" ref="AO895">_xlfn.IFS(S895&lt;5000,"Low",
S895&lt;=15000,"Medium",
TRUE,"High")</f>
        <v>Low</v>
      </c>
    </row>
    <row r="896" spans="1:41" hidden="1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 t="str">
        <f t="shared" si="39"/>
        <v>Active</v>
      </c>
      <c r="AK896">
        <f t="shared" ca="1" si="40"/>
        <v>1989</v>
      </c>
      <c r="AL896">
        <f t="shared" si="41"/>
        <v>0</v>
      </c>
      <c r="AM896" t="e" cm="1">
        <f t="array" aca="1" ref="AM896" ca="1">IF(B896="Yes",YEAR(TODAY()),BLANK())</f>
        <v>#NAME?</v>
      </c>
      <c r="AN896" t="str" cm="1">
        <f t="array" ref="AN896" xml:space="preserve"> _xlfn.IFS(A896&lt;25,"&lt;25",
A896&lt;=35,"25-35",
A896&lt;=45,"36-45",
TRUE,"45+"
)</f>
        <v>45+</v>
      </c>
      <c r="AO896" t="str" cm="1">
        <f t="array" ref="AO896">_xlfn.IFS(S896&lt;5000,"Low",
S896&lt;=15000,"Medium",
TRUE,"High")</f>
        <v>High</v>
      </c>
    </row>
    <row r="897" spans="1:41" hidden="1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 t="str">
        <f t="shared" si="39"/>
        <v>Active</v>
      </c>
      <c r="AK897">
        <f t="shared" ca="1" si="40"/>
        <v>2019</v>
      </c>
      <c r="AL897">
        <f t="shared" si="41"/>
        <v>0</v>
      </c>
      <c r="AM897" t="e" cm="1">
        <f t="array" aca="1" ref="AM897" ca="1">IF(B897="Yes",YEAR(TODAY()),BLANK())</f>
        <v>#NAME?</v>
      </c>
      <c r="AN897" t="str" cm="1">
        <f t="array" ref="AN897" xml:space="preserve"> _xlfn.IFS(A897&lt;25,"&lt;25",
A897&lt;=35,"25-35",
A897&lt;=45,"36-45",
TRUE,"45+"
)</f>
        <v>25-35</v>
      </c>
      <c r="AO897" t="str" cm="1">
        <f t="array" ref="AO897">_xlfn.IFS(S897&lt;5000,"Low",
S897&lt;=15000,"Medium",
TRUE,"High")</f>
        <v>Medium</v>
      </c>
    </row>
    <row r="898" spans="1:41" hidden="1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 t="str">
        <f t="shared" si="39"/>
        <v>Active</v>
      </c>
      <c r="AK898">
        <f t="shared" ca="1" si="40"/>
        <v>2015</v>
      </c>
      <c r="AL898">
        <f t="shared" si="41"/>
        <v>0</v>
      </c>
      <c r="AM898" t="e" cm="1">
        <f t="array" aca="1" ref="AM898" ca="1">IF(B898="Yes",YEAR(TODAY()),BLANK())</f>
        <v>#NAME?</v>
      </c>
      <c r="AN898" t="str" cm="1">
        <f t="array" ref="AN898" xml:space="preserve"> _xlfn.IFS(A898&lt;25,"&lt;25",
A898&lt;=35,"25-35",
A898&lt;=45,"36-45",
TRUE,"45+"
)</f>
        <v>25-35</v>
      </c>
      <c r="AO898" t="str" cm="1">
        <f t="array" ref="AO898">_xlfn.IFS(S898&lt;5000,"Low",
S898&lt;=15000,"Medium",
TRUE,"High")</f>
        <v>Medium</v>
      </c>
    </row>
    <row r="899" spans="1:41" hidden="1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 t="str">
        <f t="shared" ref="AJ899:AJ962" si="42">IF(B899="Yes", "Resigned","Active")</f>
        <v>Active</v>
      </c>
      <c r="AK899">
        <f t="shared" ref="AK899:AK962" ca="1" si="43">YEAR(TODAY()) - AC899</f>
        <v>2012</v>
      </c>
      <c r="AL899">
        <f t="shared" ref="AL899:AL962" si="44">IF(B899="Yes",1,0)</f>
        <v>0</v>
      </c>
      <c r="AM899" t="e" cm="1">
        <f t="array" aca="1" ref="AM899" ca="1">IF(B899="Yes",YEAR(TODAY()),BLANK())</f>
        <v>#NAME?</v>
      </c>
      <c r="AN899" t="str" cm="1">
        <f t="array" ref="AN899" xml:space="preserve"> _xlfn.IFS(A899&lt;25,"&lt;25",
A899&lt;=35,"25-35",
A899&lt;=45,"36-45",
TRUE,"45+"
)</f>
        <v>45+</v>
      </c>
      <c r="AO899" t="str" cm="1">
        <f t="array" ref="AO899">_xlfn.IFS(S899&lt;5000,"Low",
S899&lt;=15000,"Medium",
TRUE,"High")</f>
        <v>Medium</v>
      </c>
    </row>
    <row r="900" spans="1:41" hidden="1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 t="str">
        <f t="shared" si="42"/>
        <v>Active</v>
      </c>
      <c r="AK900">
        <f t="shared" ca="1" si="43"/>
        <v>2000</v>
      </c>
      <c r="AL900">
        <f t="shared" si="44"/>
        <v>0</v>
      </c>
      <c r="AM900" t="e" cm="1">
        <f t="array" aca="1" ref="AM900" ca="1">IF(B900="Yes",YEAR(TODAY()),BLANK())</f>
        <v>#NAME?</v>
      </c>
      <c r="AN900" t="str" cm="1">
        <f t="array" ref="AN900" xml:space="preserve"> _xlfn.IFS(A900&lt;25,"&lt;25",
A900&lt;=35,"25-35",
A900&lt;=45,"36-45",
TRUE,"45+"
)</f>
        <v>36-45</v>
      </c>
      <c r="AO900" t="str" cm="1">
        <f t="array" ref="AO900">_xlfn.IFS(S900&lt;5000,"Low",
S900&lt;=15000,"Medium",
TRUE,"High")</f>
        <v>High</v>
      </c>
    </row>
    <row r="901" spans="1:41" hidden="1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 t="str">
        <f t="shared" si="42"/>
        <v>Active</v>
      </c>
      <c r="AK901">
        <f t="shared" ca="1" si="43"/>
        <v>2002</v>
      </c>
      <c r="AL901">
        <f t="shared" si="44"/>
        <v>0</v>
      </c>
      <c r="AM901" t="e" cm="1">
        <f t="array" aca="1" ref="AM901" ca="1">IF(B901="Yes",YEAR(TODAY()),BLANK())</f>
        <v>#NAME?</v>
      </c>
      <c r="AN901" t="str" cm="1">
        <f t="array" ref="AN901" xml:space="preserve"> _xlfn.IFS(A901&lt;25,"&lt;25",
A901&lt;=35,"25-35",
A901&lt;=45,"36-45",
TRUE,"45+"
)</f>
        <v>45+</v>
      </c>
      <c r="AO901" t="str" cm="1">
        <f t="array" ref="AO901">_xlfn.IFS(S901&lt;5000,"Low",
S901&lt;=15000,"Medium",
TRUE,"High")</f>
        <v>High</v>
      </c>
    </row>
    <row r="902" spans="1:41" hidden="1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 t="str">
        <f t="shared" si="42"/>
        <v>Active</v>
      </c>
      <c r="AK902">
        <f t="shared" ca="1" si="43"/>
        <v>2013</v>
      </c>
      <c r="AL902">
        <f t="shared" si="44"/>
        <v>0</v>
      </c>
      <c r="AM902" t="e" cm="1">
        <f t="array" aca="1" ref="AM902" ca="1">IF(B902="Yes",YEAR(TODAY()),BLANK())</f>
        <v>#NAME?</v>
      </c>
      <c r="AN902" t="str" cm="1">
        <f t="array" ref="AN902" xml:space="preserve"> _xlfn.IFS(A902&lt;25,"&lt;25",
A902&lt;=35,"25-35",
A902&lt;=45,"36-45",
TRUE,"45+"
)</f>
        <v>36-45</v>
      </c>
      <c r="AO902" t="str" cm="1">
        <f t="array" ref="AO902">_xlfn.IFS(S902&lt;5000,"Low",
S902&lt;=15000,"Medium",
TRUE,"High")</f>
        <v>Low</v>
      </c>
    </row>
    <row r="903" spans="1:41" hidden="1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 t="str">
        <f t="shared" si="42"/>
        <v>Active</v>
      </c>
      <c r="AK903">
        <f t="shared" ca="1" si="43"/>
        <v>2018</v>
      </c>
      <c r="AL903">
        <f t="shared" si="44"/>
        <v>0</v>
      </c>
      <c r="AM903" t="e" cm="1">
        <f t="array" aca="1" ref="AM903" ca="1">IF(B903="Yes",YEAR(TODAY()),BLANK())</f>
        <v>#NAME?</v>
      </c>
      <c r="AN903" t="str" cm="1">
        <f t="array" ref="AN903" xml:space="preserve"> _xlfn.IFS(A903&lt;25,"&lt;25",
A903&lt;=35,"25-35",
A903&lt;=45,"36-45",
TRUE,"45+"
)</f>
        <v>45+</v>
      </c>
      <c r="AO903" t="str" cm="1">
        <f t="array" ref="AO903">_xlfn.IFS(S903&lt;5000,"Low",
S903&lt;=15000,"Medium",
TRUE,"High")</f>
        <v>Low</v>
      </c>
    </row>
    <row r="904" spans="1:41" hidden="1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 t="str">
        <f t="shared" si="42"/>
        <v>Active</v>
      </c>
      <c r="AK904">
        <f t="shared" ca="1" si="43"/>
        <v>2020</v>
      </c>
      <c r="AL904">
        <f t="shared" si="44"/>
        <v>0</v>
      </c>
      <c r="AM904" t="e" cm="1">
        <f t="array" aca="1" ref="AM904" ca="1">IF(B904="Yes",YEAR(TODAY()),BLANK())</f>
        <v>#NAME?</v>
      </c>
      <c r="AN904" t="str" cm="1">
        <f t="array" ref="AN904" xml:space="preserve"> _xlfn.IFS(A904&lt;25,"&lt;25",
A904&lt;=35,"25-35",
A904&lt;=45,"36-45",
TRUE,"45+"
)</f>
        <v>25-35</v>
      </c>
      <c r="AO904" t="str" cm="1">
        <f t="array" ref="AO904">_xlfn.IFS(S904&lt;5000,"Low",
S904&lt;=15000,"Medium",
TRUE,"High")</f>
        <v>Low</v>
      </c>
    </row>
    <row r="905" spans="1:41" hidden="1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 t="str">
        <f t="shared" si="42"/>
        <v>Active</v>
      </c>
      <c r="AK905">
        <f t="shared" ca="1" si="43"/>
        <v>2019</v>
      </c>
      <c r="AL905">
        <f t="shared" si="44"/>
        <v>0</v>
      </c>
      <c r="AM905" t="e" cm="1">
        <f t="array" aca="1" ref="AM905" ca="1">IF(B905="Yes",YEAR(TODAY()),BLANK())</f>
        <v>#NAME?</v>
      </c>
      <c r="AN905" t="str" cm="1">
        <f t="array" ref="AN905" xml:space="preserve"> _xlfn.IFS(A905&lt;25,"&lt;25",
A905&lt;=35,"25-35",
A905&lt;=45,"36-45",
TRUE,"45+"
)</f>
        <v>25-35</v>
      </c>
      <c r="AO905" t="str" cm="1">
        <f t="array" ref="AO905">_xlfn.IFS(S905&lt;5000,"Low",
S905&lt;=15000,"Medium",
TRUE,"High")</f>
        <v>Medium</v>
      </c>
    </row>
    <row r="906" spans="1:41" hidden="1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 t="str">
        <f t="shared" si="42"/>
        <v>Active</v>
      </c>
      <c r="AK906">
        <f t="shared" ca="1" si="43"/>
        <v>2000</v>
      </c>
      <c r="AL906">
        <f t="shared" si="44"/>
        <v>0</v>
      </c>
      <c r="AM906" t="e" cm="1">
        <f t="array" aca="1" ref="AM906" ca="1">IF(B906="Yes",YEAR(TODAY()),BLANK())</f>
        <v>#NAME?</v>
      </c>
      <c r="AN906" t="str" cm="1">
        <f t="array" ref="AN906" xml:space="preserve"> _xlfn.IFS(A906&lt;25,"&lt;25",
A906&lt;=35,"25-35",
A906&lt;=45,"36-45",
TRUE,"45+"
)</f>
        <v>45+</v>
      </c>
      <c r="AO906" t="str" cm="1">
        <f t="array" ref="AO906">_xlfn.IFS(S906&lt;5000,"Low",
S906&lt;=15000,"Medium",
TRUE,"High")</f>
        <v>High</v>
      </c>
    </row>
    <row r="907" spans="1:41" hidden="1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 t="str">
        <f t="shared" si="42"/>
        <v>Active</v>
      </c>
      <c r="AK907">
        <f t="shared" ca="1" si="43"/>
        <v>2016</v>
      </c>
      <c r="AL907">
        <f t="shared" si="44"/>
        <v>0</v>
      </c>
      <c r="AM907" t="e" cm="1">
        <f t="array" aca="1" ref="AM907" ca="1">IF(B907="Yes",YEAR(TODAY()),BLANK())</f>
        <v>#NAME?</v>
      </c>
      <c r="AN907" t="str" cm="1">
        <f t="array" ref="AN907" xml:space="preserve"> _xlfn.IFS(A907&lt;25,"&lt;25",
A907&lt;=35,"25-35",
A907&lt;=45,"36-45",
TRUE,"45+"
)</f>
        <v>25-35</v>
      </c>
      <c r="AO907" t="str" cm="1">
        <f t="array" ref="AO907">_xlfn.IFS(S907&lt;5000,"Low",
S907&lt;=15000,"Medium",
TRUE,"High")</f>
        <v>High</v>
      </c>
    </row>
    <row r="908" spans="1:41" hidden="1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 t="str">
        <f t="shared" si="42"/>
        <v>Active</v>
      </c>
      <c r="AK908">
        <f t="shared" ca="1" si="43"/>
        <v>2023</v>
      </c>
      <c r="AL908">
        <f t="shared" si="44"/>
        <v>0</v>
      </c>
      <c r="AM908" t="e" cm="1">
        <f t="array" aca="1" ref="AM908" ca="1">IF(B908="Yes",YEAR(TODAY()),BLANK())</f>
        <v>#NAME?</v>
      </c>
      <c r="AN908" t="str" cm="1">
        <f t="array" ref="AN908" xml:space="preserve"> _xlfn.IFS(A908&lt;25,"&lt;25",
A908&lt;=35,"25-35",
A908&lt;=45,"36-45",
TRUE,"45+"
)</f>
        <v>25-35</v>
      </c>
      <c r="AO908" t="str" cm="1">
        <f t="array" ref="AO908">_xlfn.IFS(S908&lt;5000,"Low",
S908&lt;=15000,"Medium",
TRUE,"High")</f>
        <v>Low</v>
      </c>
    </row>
    <row r="909" spans="1:41" hidden="1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 t="str">
        <f t="shared" si="42"/>
        <v>Active</v>
      </c>
      <c r="AK909">
        <f t="shared" ca="1" si="43"/>
        <v>1999</v>
      </c>
      <c r="AL909">
        <f t="shared" si="44"/>
        <v>0</v>
      </c>
      <c r="AM909" t="e" cm="1">
        <f t="array" aca="1" ref="AM909" ca="1">IF(B909="Yes",YEAR(TODAY()),BLANK())</f>
        <v>#NAME?</v>
      </c>
      <c r="AN909" t="str" cm="1">
        <f t="array" ref="AN909" xml:space="preserve"> _xlfn.IFS(A909&lt;25,"&lt;25",
A909&lt;=35,"25-35",
A909&lt;=45,"36-45",
TRUE,"45+"
)</f>
        <v>36-45</v>
      </c>
      <c r="AO909" t="str" cm="1">
        <f t="array" ref="AO909">_xlfn.IFS(S909&lt;5000,"Low",
S909&lt;=15000,"Medium",
TRUE,"High")</f>
        <v>High</v>
      </c>
    </row>
    <row r="910" spans="1:41" hidden="1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 t="str">
        <f t="shared" si="42"/>
        <v>Active</v>
      </c>
      <c r="AK910">
        <f t="shared" ca="1" si="43"/>
        <v>2015</v>
      </c>
      <c r="AL910">
        <f t="shared" si="44"/>
        <v>0</v>
      </c>
      <c r="AM910" t="e" cm="1">
        <f t="array" aca="1" ref="AM910" ca="1">IF(B910="Yes",YEAR(TODAY()),BLANK())</f>
        <v>#NAME?</v>
      </c>
      <c r="AN910" t="str" cm="1">
        <f t="array" ref="AN910" xml:space="preserve"> _xlfn.IFS(A910&lt;25,"&lt;25",
A910&lt;=35,"25-35",
A910&lt;=45,"36-45",
TRUE,"45+"
)</f>
        <v>25-35</v>
      </c>
      <c r="AO910" t="str" cm="1">
        <f t="array" ref="AO910">_xlfn.IFS(S910&lt;5000,"Low",
S910&lt;=15000,"Medium",
TRUE,"High")</f>
        <v>Medium</v>
      </c>
    </row>
    <row r="911" spans="1:41" hidden="1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 t="str">
        <f t="shared" si="42"/>
        <v>Active</v>
      </c>
      <c r="AK911">
        <f t="shared" ca="1" si="43"/>
        <v>2024</v>
      </c>
      <c r="AL911">
        <f t="shared" si="44"/>
        <v>0</v>
      </c>
      <c r="AM911" t="e" cm="1">
        <f t="array" aca="1" ref="AM911" ca="1">IF(B911="Yes",YEAR(TODAY()),BLANK())</f>
        <v>#NAME?</v>
      </c>
      <c r="AN911" t="str" cm="1">
        <f t="array" ref="AN911" xml:space="preserve"> _xlfn.IFS(A911&lt;25,"&lt;25",
A911&lt;=35,"25-35",
A911&lt;=45,"36-45",
TRUE,"45+"
)</f>
        <v>&lt;25</v>
      </c>
      <c r="AO911" t="str" cm="1">
        <f t="array" ref="AO911">_xlfn.IFS(S911&lt;5000,"Low",
S911&lt;=15000,"Medium",
TRUE,"High")</f>
        <v>Low</v>
      </c>
    </row>
    <row r="912" spans="1:41" hidden="1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 t="str">
        <f t="shared" si="42"/>
        <v>Active</v>
      </c>
      <c r="AK912">
        <f t="shared" ca="1" si="43"/>
        <v>2024</v>
      </c>
      <c r="AL912">
        <f t="shared" si="44"/>
        <v>0</v>
      </c>
      <c r="AM912" t="e" cm="1">
        <f t="array" aca="1" ref="AM912" ca="1">IF(B912="Yes",YEAR(TODAY()),BLANK())</f>
        <v>#NAME?</v>
      </c>
      <c r="AN912" t="str" cm="1">
        <f t="array" ref="AN912" xml:space="preserve"> _xlfn.IFS(A912&lt;25,"&lt;25",
A912&lt;=35,"25-35",
A912&lt;=45,"36-45",
TRUE,"45+"
)</f>
        <v>&lt;25</v>
      </c>
      <c r="AO912" t="str" cm="1">
        <f t="array" ref="AO912">_xlfn.IFS(S912&lt;5000,"Low",
S912&lt;=15000,"Medium",
TRUE,"High")</f>
        <v>Low</v>
      </c>
    </row>
    <row r="913" spans="1:41" hidden="1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 t="str">
        <f t="shared" si="42"/>
        <v>Resigned</v>
      </c>
      <c r="AK913">
        <f t="shared" ca="1" si="43"/>
        <v>2024</v>
      </c>
      <c r="AL913">
        <f t="shared" si="44"/>
        <v>1</v>
      </c>
      <c r="AM913" cm="1">
        <f t="array" aca="1" ref="AM913" ca="1">IF(B913="Yes",YEAR(TODAY()),BLANK())</f>
        <v>2025</v>
      </c>
      <c r="AN913" t="str" cm="1">
        <f t="array" ref="AN913" xml:space="preserve"> _xlfn.IFS(A913&lt;25,"&lt;25",
A913&lt;=35,"25-35",
A913&lt;=45,"36-45",
TRUE,"45+"
)</f>
        <v>25-35</v>
      </c>
      <c r="AO913" t="str" cm="1">
        <f t="array" ref="AO913">_xlfn.IFS(S913&lt;5000,"Low",
S913&lt;=15000,"Medium",
TRUE,"High")</f>
        <v>Low</v>
      </c>
    </row>
    <row r="914" spans="1:41" hidden="1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 t="str">
        <f t="shared" si="42"/>
        <v>Active</v>
      </c>
      <c r="AK914">
        <f t="shared" ca="1" si="43"/>
        <v>2017</v>
      </c>
      <c r="AL914">
        <f t="shared" si="44"/>
        <v>0</v>
      </c>
      <c r="AM914" t="e" cm="1">
        <f t="array" aca="1" ref="AM914" ca="1">IF(B914="Yes",YEAR(TODAY()),BLANK())</f>
        <v>#NAME?</v>
      </c>
      <c r="AN914" t="str" cm="1">
        <f t="array" ref="AN914" xml:space="preserve"> _xlfn.IFS(A914&lt;25,"&lt;25",
A914&lt;=35,"25-35",
A914&lt;=45,"36-45",
TRUE,"45+"
)</f>
        <v>25-35</v>
      </c>
      <c r="AO914" t="str" cm="1">
        <f t="array" ref="AO914">_xlfn.IFS(S914&lt;5000,"Low",
S914&lt;=15000,"Medium",
TRUE,"High")</f>
        <v>Low</v>
      </c>
    </row>
    <row r="915" spans="1:41" hidden="1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 t="str">
        <f t="shared" si="42"/>
        <v>Resigned</v>
      </c>
      <c r="AK915">
        <f t="shared" ca="1" si="43"/>
        <v>1999</v>
      </c>
      <c r="AL915">
        <f t="shared" si="44"/>
        <v>1</v>
      </c>
      <c r="AM915" cm="1">
        <f t="array" aca="1" ref="AM915" ca="1">IF(B915="Yes",YEAR(TODAY()),BLANK())</f>
        <v>2025</v>
      </c>
      <c r="AN915" t="str" cm="1">
        <f t="array" ref="AN915" xml:space="preserve"> _xlfn.IFS(A915&lt;25,"&lt;25",
A915&lt;=35,"25-35",
A915&lt;=45,"36-45",
TRUE,"45+"
)</f>
        <v>36-45</v>
      </c>
      <c r="AO915" t="str" cm="1">
        <f t="array" ref="AO915">_xlfn.IFS(S915&lt;5000,"Low",
S915&lt;=15000,"Medium",
TRUE,"High")</f>
        <v>High</v>
      </c>
    </row>
    <row r="916" spans="1:41" hidden="1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 t="str">
        <f t="shared" si="42"/>
        <v>Active</v>
      </c>
      <c r="AK916">
        <f t="shared" ca="1" si="43"/>
        <v>1991</v>
      </c>
      <c r="AL916">
        <f t="shared" si="44"/>
        <v>0</v>
      </c>
      <c r="AM916" t="e" cm="1">
        <f t="array" aca="1" ref="AM916" ca="1">IF(B916="Yes",YEAR(TODAY()),BLANK())</f>
        <v>#NAME?</v>
      </c>
      <c r="AN916" t="str" cm="1">
        <f t="array" ref="AN916" xml:space="preserve"> _xlfn.IFS(A916&lt;25,"&lt;25",
A916&lt;=35,"25-35",
A916&lt;=45,"36-45",
TRUE,"45+"
)</f>
        <v>45+</v>
      </c>
      <c r="AO916" t="str" cm="1">
        <f t="array" ref="AO916">_xlfn.IFS(S916&lt;5000,"Low",
S916&lt;=15000,"Medium",
TRUE,"High")</f>
        <v>Medium</v>
      </c>
    </row>
    <row r="917" spans="1:41" hidden="1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 t="str">
        <f t="shared" si="42"/>
        <v>Resigned</v>
      </c>
      <c r="AK917">
        <f t="shared" ca="1" si="43"/>
        <v>2023</v>
      </c>
      <c r="AL917">
        <f t="shared" si="44"/>
        <v>1</v>
      </c>
      <c r="AM917" cm="1">
        <f t="array" aca="1" ref="AM917" ca="1">IF(B917="Yes",YEAR(TODAY()),BLANK())</f>
        <v>2025</v>
      </c>
      <c r="AN917" t="str" cm="1">
        <f t="array" ref="AN917" xml:space="preserve"> _xlfn.IFS(A917&lt;25,"&lt;25",
A917&lt;=35,"25-35",
A917&lt;=45,"36-45",
TRUE,"45+"
)</f>
        <v>&lt;25</v>
      </c>
      <c r="AO917" t="str" cm="1">
        <f t="array" ref="AO917">_xlfn.IFS(S917&lt;5000,"Low",
S917&lt;=15000,"Medium",
TRUE,"High")</f>
        <v>Low</v>
      </c>
    </row>
    <row r="918" spans="1:41" hidden="1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 t="str">
        <f t="shared" si="42"/>
        <v>Active</v>
      </c>
      <c r="AK918">
        <f t="shared" ca="1" si="43"/>
        <v>1999</v>
      </c>
      <c r="AL918">
        <f t="shared" si="44"/>
        <v>0</v>
      </c>
      <c r="AM918" t="e" cm="1">
        <f t="array" aca="1" ref="AM918" ca="1">IF(B918="Yes",YEAR(TODAY()),BLANK())</f>
        <v>#NAME?</v>
      </c>
      <c r="AN918" t="str" cm="1">
        <f t="array" ref="AN918" xml:space="preserve"> _xlfn.IFS(A918&lt;25,"&lt;25",
A918&lt;=35,"25-35",
A918&lt;=45,"36-45",
TRUE,"45+"
)</f>
        <v>45+</v>
      </c>
      <c r="AO918" t="str" cm="1">
        <f t="array" ref="AO918">_xlfn.IFS(S918&lt;5000,"Low",
S918&lt;=15000,"Medium",
TRUE,"High")</f>
        <v>High</v>
      </c>
    </row>
    <row r="919" spans="1:41" hidden="1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 t="str">
        <f t="shared" si="42"/>
        <v>Active</v>
      </c>
      <c r="AK919">
        <f t="shared" ca="1" si="43"/>
        <v>2021</v>
      </c>
      <c r="AL919">
        <f t="shared" si="44"/>
        <v>0</v>
      </c>
      <c r="AM919" t="e" cm="1">
        <f t="array" aca="1" ref="AM919" ca="1">IF(B919="Yes",YEAR(TODAY()),BLANK())</f>
        <v>#NAME?</v>
      </c>
      <c r="AN919" t="str" cm="1">
        <f t="array" ref="AN919" xml:space="preserve"> _xlfn.IFS(A919&lt;25,"&lt;25",
A919&lt;=35,"25-35",
A919&lt;=45,"36-45",
TRUE,"45+"
)</f>
        <v>25-35</v>
      </c>
      <c r="AO919" t="str" cm="1">
        <f t="array" ref="AO919">_xlfn.IFS(S919&lt;5000,"Low",
S919&lt;=15000,"Medium",
TRUE,"High")</f>
        <v>Low</v>
      </c>
    </row>
    <row r="920" spans="1:41" hidden="1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 t="str">
        <f t="shared" si="42"/>
        <v>Active</v>
      </c>
      <c r="AK920">
        <f t="shared" ca="1" si="43"/>
        <v>1994</v>
      </c>
      <c r="AL920">
        <f t="shared" si="44"/>
        <v>0</v>
      </c>
      <c r="AM920" t="e" cm="1">
        <f t="array" aca="1" ref="AM920" ca="1">IF(B920="Yes",YEAR(TODAY()),BLANK())</f>
        <v>#NAME?</v>
      </c>
      <c r="AN920" t="str" cm="1">
        <f t="array" ref="AN920" xml:space="preserve"> _xlfn.IFS(A920&lt;25,"&lt;25",
A920&lt;=35,"25-35",
A920&lt;=45,"36-45",
TRUE,"45+"
)</f>
        <v>45+</v>
      </c>
      <c r="AO920" t="str" cm="1">
        <f t="array" ref="AO920">_xlfn.IFS(S920&lt;5000,"Low",
S920&lt;=15000,"Medium",
TRUE,"High")</f>
        <v>High</v>
      </c>
    </row>
    <row r="921" spans="1:41" hidden="1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 t="str">
        <f t="shared" si="42"/>
        <v>Active</v>
      </c>
      <c r="AK921">
        <f t="shared" ca="1" si="43"/>
        <v>2000</v>
      </c>
      <c r="AL921">
        <f t="shared" si="44"/>
        <v>0</v>
      </c>
      <c r="AM921" t="e" cm="1">
        <f t="array" aca="1" ref="AM921" ca="1">IF(B921="Yes",YEAR(TODAY()),BLANK())</f>
        <v>#NAME?</v>
      </c>
      <c r="AN921" t="str" cm="1">
        <f t="array" ref="AN921" xml:space="preserve"> _xlfn.IFS(A921&lt;25,"&lt;25",
A921&lt;=35,"25-35",
A921&lt;=45,"36-45",
TRUE,"45+"
)</f>
        <v>45+</v>
      </c>
      <c r="AO921" t="str" cm="1">
        <f t="array" ref="AO921">_xlfn.IFS(S921&lt;5000,"Low",
S921&lt;=15000,"Medium",
TRUE,"High")</f>
        <v>Medium</v>
      </c>
    </row>
    <row r="922" spans="1:41" hidden="1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 t="str">
        <f t="shared" si="42"/>
        <v>Active</v>
      </c>
      <c r="AK922">
        <f t="shared" ca="1" si="43"/>
        <v>2010</v>
      </c>
      <c r="AL922">
        <f t="shared" si="44"/>
        <v>0</v>
      </c>
      <c r="AM922" t="e" cm="1">
        <f t="array" aca="1" ref="AM922" ca="1">IF(B922="Yes",YEAR(TODAY()),BLANK())</f>
        <v>#NAME?</v>
      </c>
      <c r="AN922" t="str" cm="1">
        <f t="array" ref="AN922" xml:space="preserve"> _xlfn.IFS(A922&lt;25,"&lt;25",
A922&lt;=35,"25-35",
A922&lt;=45,"36-45",
TRUE,"45+"
)</f>
        <v>25-35</v>
      </c>
      <c r="AO922" t="str" cm="1">
        <f t="array" ref="AO922">_xlfn.IFS(S922&lt;5000,"Low",
S922&lt;=15000,"Medium",
TRUE,"High")</f>
        <v>Low</v>
      </c>
    </row>
    <row r="923" spans="1:41" hidden="1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 t="str">
        <f t="shared" si="42"/>
        <v>Active</v>
      </c>
      <c r="AK923">
        <f t="shared" ca="1" si="43"/>
        <v>2020</v>
      </c>
      <c r="AL923">
        <f t="shared" si="44"/>
        <v>0</v>
      </c>
      <c r="AM923" t="e" cm="1">
        <f t="array" aca="1" ref="AM923" ca="1">IF(B923="Yes",YEAR(TODAY()),BLANK())</f>
        <v>#NAME?</v>
      </c>
      <c r="AN923" t="str" cm="1">
        <f t="array" ref="AN923" xml:space="preserve"> _xlfn.IFS(A923&lt;25,"&lt;25",
A923&lt;=35,"25-35",
A923&lt;=45,"36-45",
TRUE,"45+"
)</f>
        <v>25-35</v>
      </c>
      <c r="AO923" t="str" cm="1">
        <f t="array" ref="AO923">_xlfn.IFS(S923&lt;5000,"Low",
S923&lt;=15000,"Medium",
TRUE,"High")</f>
        <v>Low</v>
      </c>
    </row>
    <row r="924" spans="1:41" hidden="1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 t="str">
        <f t="shared" si="42"/>
        <v>Active</v>
      </c>
      <c r="AK924">
        <f t="shared" ca="1" si="43"/>
        <v>1999</v>
      </c>
      <c r="AL924">
        <f t="shared" si="44"/>
        <v>0</v>
      </c>
      <c r="AM924" t="e" cm="1">
        <f t="array" aca="1" ref="AM924" ca="1">IF(B924="Yes",YEAR(TODAY()),BLANK())</f>
        <v>#NAME?</v>
      </c>
      <c r="AN924" t="str" cm="1">
        <f t="array" ref="AN924" xml:space="preserve"> _xlfn.IFS(A924&lt;25,"&lt;25",
A924&lt;=35,"25-35",
A924&lt;=45,"36-45",
TRUE,"45+"
)</f>
        <v>36-45</v>
      </c>
      <c r="AO924" t="str" cm="1">
        <f t="array" ref="AO924">_xlfn.IFS(S924&lt;5000,"Low",
S924&lt;=15000,"Medium",
TRUE,"High")</f>
        <v>High</v>
      </c>
    </row>
    <row r="925" spans="1:41" hidden="1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 t="str">
        <f t="shared" si="42"/>
        <v>Active</v>
      </c>
      <c r="AK925">
        <f t="shared" ca="1" si="43"/>
        <v>2011</v>
      </c>
      <c r="AL925">
        <f t="shared" si="44"/>
        <v>0</v>
      </c>
      <c r="AM925" t="e" cm="1">
        <f t="array" aca="1" ref="AM925" ca="1">IF(B925="Yes",YEAR(TODAY()),BLANK())</f>
        <v>#NAME?</v>
      </c>
      <c r="AN925" t="str" cm="1">
        <f t="array" ref="AN925" xml:space="preserve"> _xlfn.IFS(A925&lt;25,"&lt;25",
A925&lt;=35,"25-35",
A925&lt;=45,"36-45",
TRUE,"45+"
)</f>
        <v>25-35</v>
      </c>
      <c r="AO925" t="str" cm="1">
        <f t="array" ref="AO925">_xlfn.IFS(S925&lt;5000,"Low",
S925&lt;=15000,"Medium",
TRUE,"High")</f>
        <v>Low</v>
      </c>
    </row>
    <row r="926" spans="1:41" hidden="1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 t="str">
        <f t="shared" si="42"/>
        <v>Active</v>
      </c>
      <c r="AK926">
        <f t="shared" ca="1" si="43"/>
        <v>2021</v>
      </c>
      <c r="AL926">
        <f t="shared" si="44"/>
        <v>0</v>
      </c>
      <c r="AM926" t="e" cm="1">
        <f t="array" aca="1" ref="AM926" ca="1">IF(B926="Yes",YEAR(TODAY()),BLANK())</f>
        <v>#NAME?</v>
      </c>
      <c r="AN926" t="str" cm="1">
        <f t="array" ref="AN926" xml:space="preserve"> _xlfn.IFS(A926&lt;25,"&lt;25",
A926&lt;=35,"25-35",
A926&lt;=45,"36-45",
TRUE,"45+"
)</f>
        <v>25-35</v>
      </c>
      <c r="AO926" t="str" cm="1">
        <f t="array" ref="AO926">_xlfn.IFS(S926&lt;5000,"Low",
S926&lt;=15000,"Medium",
TRUE,"High")</f>
        <v>Low</v>
      </c>
    </row>
    <row r="927" spans="1:41" hidden="1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 t="str">
        <f t="shared" si="42"/>
        <v>Active</v>
      </c>
      <c r="AK927">
        <f t="shared" ca="1" si="43"/>
        <v>2007</v>
      </c>
      <c r="AL927">
        <f t="shared" si="44"/>
        <v>0</v>
      </c>
      <c r="AM927" t="e" cm="1">
        <f t="array" aca="1" ref="AM927" ca="1">IF(B927="Yes",YEAR(TODAY()),BLANK())</f>
        <v>#NAME?</v>
      </c>
      <c r="AN927" t="str" cm="1">
        <f t="array" ref="AN927" xml:space="preserve"> _xlfn.IFS(A927&lt;25,"&lt;25",
A927&lt;=35,"25-35",
A927&lt;=45,"36-45",
TRUE,"45+"
)</f>
        <v>36-45</v>
      </c>
      <c r="AO927" t="str" cm="1">
        <f t="array" ref="AO927">_xlfn.IFS(S927&lt;5000,"Low",
S927&lt;=15000,"Medium",
TRUE,"High")</f>
        <v>Low</v>
      </c>
    </row>
    <row r="928" spans="1:41" hidden="1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 t="str">
        <f t="shared" si="42"/>
        <v>Active</v>
      </c>
      <c r="AK928">
        <f t="shared" ca="1" si="43"/>
        <v>2002</v>
      </c>
      <c r="AL928">
        <f t="shared" si="44"/>
        <v>0</v>
      </c>
      <c r="AM928" t="e" cm="1">
        <f t="array" aca="1" ref="AM928" ca="1">IF(B928="Yes",YEAR(TODAY()),BLANK())</f>
        <v>#NAME?</v>
      </c>
      <c r="AN928" t="str" cm="1">
        <f t="array" ref="AN928" xml:space="preserve"> _xlfn.IFS(A928&lt;25,"&lt;25",
A928&lt;=35,"25-35",
A928&lt;=45,"36-45",
TRUE,"45+"
)</f>
        <v>36-45</v>
      </c>
      <c r="AO928" t="str" cm="1">
        <f t="array" ref="AO928">_xlfn.IFS(S928&lt;5000,"Low",
S928&lt;=15000,"Medium",
TRUE,"High")</f>
        <v>Medium</v>
      </c>
    </row>
    <row r="929" spans="1:41" hidden="1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 t="str">
        <f t="shared" si="42"/>
        <v>Active</v>
      </c>
      <c r="AK929">
        <f t="shared" ca="1" si="43"/>
        <v>2007</v>
      </c>
      <c r="AL929">
        <f t="shared" si="44"/>
        <v>0</v>
      </c>
      <c r="AM929" t="e" cm="1">
        <f t="array" aca="1" ref="AM929" ca="1">IF(B929="Yes",YEAR(TODAY()),BLANK())</f>
        <v>#NAME?</v>
      </c>
      <c r="AN929" t="str" cm="1">
        <f t="array" ref="AN929" xml:space="preserve"> _xlfn.IFS(A929&lt;25,"&lt;25",
A929&lt;=35,"25-35",
A929&lt;=45,"36-45",
TRUE,"45+"
)</f>
        <v>36-45</v>
      </c>
      <c r="AO929" t="str" cm="1">
        <f t="array" ref="AO929">_xlfn.IFS(S929&lt;5000,"Low",
S929&lt;=15000,"Medium",
TRUE,"High")</f>
        <v>Medium</v>
      </c>
    </row>
    <row r="930" spans="1:41" hidden="1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 t="str">
        <f t="shared" si="42"/>
        <v>Resigned</v>
      </c>
      <c r="AK930">
        <f t="shared" ca="1" si="43"/>
        <v>2015</v>
      </c>
      <c r="AL930">
        <f t="shared" si="44"/>
        <v>1</v>
      </c>
      <c r="AM930" cm="1">
        <f t="array" aca="1" ref="AM930" ca="1">IF(B930="Yes",YEAR(TODAY()),BLANK())</f>
        <v>2025</v>
      </c>
      <c r="AN930" t="str" cm="1">
        <f t="array" ref="AN930" xml:space="preserve"> _xlfn.IFS(A930&lt;25,"&lt;25",
A930&lt;=35,"25-35",
A930&lt;=45,"36-45",
TRUE,"45+"
)</f>
        <v>36-45</v>
      </c>
      <c r="AO930" t="str" cm="1">
        <f t="array" ref="AO930">_xlfn.IFS(S930&lt;5000,"Low",
S930&lt;=15000,"Medium",
TRUE,"High")</f>
        <v>Medium</v>
      </c>
    </row>
    <row r="931" spans="1:41" hidden="1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 t="str">
        <f t="shared" si="42"/>
        <v>Active</v>
      </c>
      <c r="AK931">
        <f t="shared" ca="1" si="43"/>
        <v>2023</v>
      </c>
      <c r="AL931">
        <f t="shared" si="44"/>
        <v>0</v>
      </c>
      <c r="AM931" t="e" cm="1">
        <f t="array" aca="1" ref="AM931" ca="1">IF(B931="Yes",YEAR(TODAY()),BLANK())</f>
        <v>#NAME?</v>
      </c>
      <c r="AN931" t="str" cm="1">
        <f t="array" ref="AN931" xml:space="preserve"> _xlfn.IFS(A931&lt;25,"&lt;25",
A931&lt;=35,"25-35",
A931&lt;=45,"36-45",
TRUE,"45+"
)</f>
        <v>25-35</v>
      </c>
      <c r="AO931" t="str" cm="1">
        <f t="array" ref="AO931">_xlfn.IFS(S931&lt;5000,"Low",
S931&lt;=15000,"Medium",
TRUE,"High")</f>
        <v>Low</v>
      </c>
    </row>
    <row r="932" spans="1:41" hidden="1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 t="str">
        <f t="shared" si="42"/>
        <v>Active</v>
      </c>
      <c r="AK932">
        <f t="shared" ca="1" si="43"/>
        <v>2017</v>
      </c>
      <c r="AL932">
        <f t="shared" si="44"/>
        <v>0</v>
      </c>
      <c r="AM932" t="e" cm="1">
        <f t="array" aca="1" ref="AM932" ca="1">IF(B932="Yes",YEAR(TODAY()),BLANK())</f>
        <v>#NAME?</v>
      </c>
      <c r="AN932" t="str" cm="1">
        <f t="array" ref="AN932" xml:space="preserve"> _xlfn.IFS(A932&lt;25,"&lt;25",
A932&lt;=35,"25-35",
A932&lt;=45,"36-45",
TRUE,"45+"
)</f>
        <v>45+</v>
      </c>
      <c r="AO932" t="str" cm="1">
        <f t="array" ref="AO932">_xlfn.IFS(S932&lt;5000,"Low",
S932&lt;=15000,"Medium",
TRUE,"High")</f>
        <v>Low</v>
      </c>
    </row>
    <row r="933" spans="1:41" hidden="1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 t="str">
        <f t="shared" si="42"/>
        <v>Active</v>
      </c>
      <c r="AK933">
        <f t="shared" ca="1" si="43"/>
        <v>2015</v>
      </c>
      <c r="AL933">
        <f t="shared" si="44"/>
        <v>0</v>
      </c>
      <c r="AM933" t="e" cm="1">
        <f t="array" aca="1" ref="AM933" ca="1">IF(B933="Yes",YEAR(TODAY()),BLANK())</f>
        <v>#NAME?</v>
      </c>
      <c r="AN933" t="str" cm="1">
        <f t="array" ref="AN933" xml:space="preserve"> _xlfn.IFS(A933&lt;25,"&lt;25",
A933&lt;=35,"25-35",
A933&lt;=45,"36-45",
TRUE,"45+"
)</f>
        <v>25-35</v>
      </c>
      <c r="AO933" t="str" cm="1">
        <f t="array" ref="AO933">_xlfn.IFS(S933&lt;5000,"Low",
S933&lt;=15000,"Medium",
TRUE,"High")</f>
        <v>Low</v>
      </c>
    </row>
    <row r="934" spans="1:41" hidden="1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 t="str">
        <f t="shared" si="42"/>
        <v>Resigned</v>
      </c>
      <c r="AK934">
        <f t="shared" ca="1" si="43"/>
        <v>2015</v>
      </c>
      <c r="AL934">
        <f t="shared" si="44"/>
        <v>1</v>
      </c>
      <c r="AM934" cm="1">
        <f t="array" aca="1" ref="AM934" ca="1">IF(B934="Yes",YEAR(TODAY()),BLANK())</f>
        <v>2025</v>
      </c>
      <c r="AN934" t="str" cm="1">
        <f t="array" ref="AN934" xml:space="preserve"> _xlfn.IFS(A934&lt;25,"&lt;25",
A934&lt;=35,"25-35",
A934&lt;=45,"36-45",
TRUE,"45+"
)</f>
        <v>25-35</v>
      </c>
      <c r="AO934" t="str" cm="1">
        <f t="array" ref="AO934">_xlfn.IFS(S934&lt;5000,"Low",
S934&lt;=15000,"Medium",
TRUE,"High")</f>
        <v>Low</v>
      </c>
    </row>
    <row r="935" spans="1:41" hidden="1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 t="str">
        <f t="shared" si="42"/>
        <v>Active</v>
      </c>
      <c r="AK935">
        <f t="shared" ca="1" si="43"/>
        <v>2020</v>
      </c>
      <c r="AL935">
        <f t="shared" si="44"/>
        <v>0</v>
      </c>
      <c r="AM935" t="e" cm="1">
        <f t="array" aca="1" ref="AM935" ca="1">IF(B935="Yes",YEAR(TODAY()),BLANK())</f>
        <v>#NAME?</v>
      </c>
      <c r="AN935" t="str" cm="1">
        <f t="array" ref="AN935" xml:space="preserve"> _xlfn.IFS(A935&lt;25,"&lt;25",
A935&lt;=35,"25-35",
A935&lt;=45,"36-45",
TRUE,"45+"
)</f>
        <v>25-35</v>
      </c>
      <c r="AO935" t="str" cm="1">
        <f t="array" ref="AO935">_xlfn.IFS(S935&lt;5000,"Low",
S935&lt;=15000,"Medium",
TRUE,"High")</f>
        <v>Low</v>
      </c>
    </row>
    <row r="936" spans="1:41" hidden="1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 t="str">
        <f t="shared" si="42"/>
        <v>Active</v>
      </c>
      <c r="AK936">
        <f t="shared" ca="1" si="43"/>
        <v>2023</v>
      </c>
      <c r="AL936">
        <f t="shared" si="44"/>
        <v>0</v>
      </c>
      <c r="AM936" t="e" cm="1">
        <f t="array" aca="1" ref="AM936" ca="1">IF(B936="Yes",YEAR(TODAY()),BLANK())</f>
        <v>#NAME?</v>
      </c>
      <c r="AN936" t="str" cm="1">
        <f t="array" ref="AN936" xml:space="preserve"> _xlfn.IFS(A936&lt;25,"&lt;25",
A936&lt;=35,"25-35",
A936&lt;=45,"36-45",
TRUE,"45+"
)</f>
        <v>25-35</v>
      </c>
      <c r="AO936" t="str" cm="1">
        <f t="array" ref="AO936">_xlfn.IFS(S936&lt;5000,"Low",
S936&lt;=15000,"Medium",
TRUE,"High")</f>
        <v>Low</v>
      </c>
    </row>
    <row r="937" spans="1:41" hidden="1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 t="str">
        <f t="shared" si="42"/>
        <v>Active</v>
      </c>
      <c r="AK937">
        <f t="shared" ca="1" si="43"/>
        <v>2015</v>
      </c>
      <c r="AL937">
        <f t="shared" si="44"/>
        <v>0</v>
      </c>
      <c r="AM937" t="e" cm="1">
        <f t="array" aca="1" ref="AM937" ca="1">IF(B937="Yes",YEAR(TODAY()),BLANK())</f>
        <v>#NAME?</v>
      </c>
      <c r="AN937" t="str" cm="1">
        <f t="array" ref="AN937" xml:space="preserve"> _xlfn.IFS(A937&lt;25,"&lt;25",
A937&lt;=35,"25-35",
A937&lt;=45,"36-45",
TRUE,"45+"
)</f>
        <v>25-35</v>
      </c>
      <c r="AO937" t="str" cm="1">
        <f t="array" ref="AO937">_xlfn.IFS(S937&lt;5000,"Low",
S937&lt;=15000,"Medium",
TRUE,"High")</f>
        <v>Medium</v>
      </c>
    </row>
    <row r="938" spans="1:41" hidden="1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 t="str">
        <f t="shared" si="42"/>
        <v>Active</v>
      </c>
      <c r="AK938">
        <f t="shared" ca="1" si="43"/>
        <v>2003</v>
      </c>
      <c r="AL938">
        <f t="shared" si="44"/>
        <v>0</v>
      </c>
      <c r="AM938" t="e" cm="1">
        <f t="array" aca="1" ref="AM938" ca="1">IF(B938="Yes",YEAR(TODAY()),BLANK())</f>
        <v>#NAME?</v>
      </c>
      <c r="AN938" t="str" cm="1">
        <f t="array" ref="AN938" xml:space="preserve"> _xlfn.IFS(A938&lt;25,"&lt;25",
A938&lt;=35,"25-35",
A938&lt;=45,"36-45",
TRUE,"45+"
)</f>
        <v>36-45</v>
      </c>
      <c r="AO938" t="str" cm="1">
        <f t="array" ref="AO938">_xlfn.IFS(S938&lt;5000,"Low",
S938&lt;=15000,"Medium",
TRUE,"High")</f>
        <v>High</v>
      </c>
    </row>
    <row r="939" spans="1:41" hidden="1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 t="str">
        <f t="shared" si="42"/>
        <v>Active</v>
      </c>
      <c r="AK939">
        <f t="shared" ca="1" si="43"/>
        <v>2004</v>
      </c>
      <c r="AL939">
        <f t="shared" si="44"/>
        <v>0</v>
      </c>
      <c r="AM939" t="e" cm="1">
        <f t="array" aca="1" ref="AM939" ca="1">IF(B939="Yes",YEAR(TODAY()),BLANK())</f>
        <v>#NAME?</v>
      </c>
      <c r="AN939" t="str" cm="1">
        <f t="array" ref="AN939" xml:space="preserve"> _xlfn.IFS(A939&lt;25,"&lt;25",
A939&lt;=35,"25-35",
A939&lt;=45,"36-45",
TRUE,"45+"
)</f>
        <v>36-45</v>
      </c>
      <c r="AO939" t="str" cm="1">
        <f t="array" ref="AO939">_xlfn.IFS(S939&lt;5000,"Low",
S939&lt;=15000,"Medium",
TRUE,"High")</f>
        <v>High</v>
      </c>
    </row>
    <row r="940" spans="1:41" hidden="1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 t="str">
        <f t="shared" si="42"/>
        <v>Active</v>
      </c>
      <c r="AK940">
        <f t="shared" ca="1" si="43"/>
        <v>2023</v>
      </c>
      <c r="AL940">
        <f t="shared" si="44"/>
        <v>0</v>
      </c>
      <c r="AM940" t="e" cm="1">
        <f t="array" aca="1" ref="AM940" ca="1">IF(B940="Yes",YEAR(TODAY()),BLANK())</f>
        <v>#NAME?</v>
      </c>
      <c r="AN940" t="str" cm="1">
        <f t="array" ref="AN940" xml:space="preserve"> _xlfn.IFS(A940&lt;25,"&lt;25",
A940&lt;=35,"25-35",
A940&lt;=45,"36-45",
TRUE,"45+"
)</f>
        <v>45+</v>
      </c>
      <c r="AO940" t="str" cm="1">
        <f t="array" ref="AO940">_xlfn.IFS(S940&lt;5000,"Low",
S940&lt;=15000,"Medium",
TRUE,"High")</f>
        <v>Low</v>
      </c>
    </row>
    <row r="941" spans="1:41" hidden="1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 t="str">
        <f t="shared" si="42"/>
        <v>Resigned</v>
      </c>
      <c r="AK941">
        <f t="shared" ca="1" si="43"/>
        <v>2015</v>
      </c>
      <c r="AL941">
        <f t="shared" si="44"/>
        <v>1</v>
      </c>
      <c r="AM941" cm="1">
        <f t="array" aca="1" ref="AM941" ca="1">IF(B941="Yes",YEAR(TODAY()),BLANK())</f>
        <v>2025</v>
      </c>
      <c r="AN941" t="str" cm="1">
        <f t="array" ref="AN941" xml:space="preserve"> _xlfn.IFS(A941&lt;25,"&lt;25",
A941&lt;=35,"25-35",
A941&lt;=45,"36-45",
TRUE,"45+"
)</f>
        <v>25-35</v>
      </c>
      <c r="AO941" t="str" cm="1">
        <f t="array" ref="AO941">_xlfn.IFS(S941&lt;5000,"Low",
S941&lt;=15000,"Medium",
TRUE,"High")</f>
        <v>Low</v>
      </c>
    </row>
    <row r="942" spans="1:41" hidden="1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 t="str">
        <f t="shared" si="42"/>
        <v>Resigned</v>
      </c>
      <c r="AK942">
        <f t="shared" ca="1" si="43"/>
        <v>2019</v>
      </c>
      <c r="AL942">
        <f t="shared" si="44"/>
        <v>1</v>
      </c>
      <c r="AM942" cm="1">
        <f t="array" aca="1" ref="AM942" ca="1">IF(B942="Yes",YEAR(TODAY()),BLANK())</f>
        <v>2025</v>
      </c>
      <c r="AN942" t="str" cm="1">
        <f t="array" ref="AN942" xml:space="preserve"> _xlfn.IFS(A942&lt;25,"&lt;25",
A942&lt;=35,"25-35",
A942&lt;=45,"36-45",
TRUE,"45+"
)</f>
        <v>36-45</v>
      </c>
      <c r="AO942" t="str" cm="1">
        <f t="array" ref="AO942">_xlfn.IFS(S942&lt;5000,"Low",
S942&lt;=15000,"Medium",
TRUE,"High")</f>
        <v>Low</v>
      </c>
    </row>
    <row r="943" spans="1:41" hidden="1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 t="str">
        <f t="shared" si="42"/>
        <v>Active</v>
      </c>
      <c r="AK943">
        <f t="shared" ca="1" si="43"/>
        <v>2015</v>
      </c>
      <c r="AL943">
        <f t="shared" si="44"/>
        <v>0</v>
      </c>
      <c r="AM943" t="e" cm="1">
        <f t="array" aca="1" ref="AM943" ca="1">IF(B943="Yes",YEAR(TODAY()),BLANK())</f>
        <v>#NAME?</v>
      </c>
      <c r="AN943" t="str" cm="1">
        <f t="array" ref="AN943" xml:space="preserve"> _xlfn.IFS(A943&lt;25,"&lt;25",
A943&lt;=35,"25-35",
A943&lt;=45,"36-45",
TRUE,"45+"
)</f>
        <v>25-35</v>
      </c>
      <c r="AO943" t="str" cm="1">
        <f t="array" ref="AO943">_xlfn.IFS(S943&lt;5000,"Low",
S943&lt;=15000,"Medium",
TRUE,"High")</f>
        <v>Low</v>
      </c>
    </row>
    <row r="944" spans="1:41" hidden="1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 t="str">
        <f t="shared" si="42"/>
        <v>Active</v>
      </c>
      <c r="AK944">
        <f t="shared" ca="1" si="43"/>
        <v>2015</v>
      </c>
      <c r="AL944">
        <f t="shared" si="44"/>
        <v>0</v>
      </c>
      <c r="AM944" t="e" cm="1">
        <f t="array" aca="1" ref="AM944" ca="1">IF(B944="Yes",YEAR(TODAY()),BLANK())</f>
        <v>#NAME?</v>
      </c>
      <c r="AN944" t="str" cm="1">
        <f t="array" ref="AN944" xml:space="preserve"> _xlfn.IFS(A944&lt;25,"&lt;25",
A944&lt;=35,"25-35",
A944&lt;=45,"36-45",
TRUE,"45+"
)</f>
        <v>36-45</v>
      </c>
      <c r="AO944" t="str" cm="1">
        <f t="array" ref="AO944">_xlfn.IFS(S944&lt;5000,"Low",
S944&lt;=15000,"Medium",
TRUE,"High")</f>
        <v>Medium</v>
      </c>
    </row>
    <row r="945" spans="1:41" hidden="1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 t="str">
        <f t="shared" si="42"/>
        <v>Active</v>
      </c>
      <c r="AK945">
        <f t="shared" ca="1" si="43"/>
        <v>2015</v>
      </c>
      <c r="AL945">
        <f t="shared" si="44"/>
        <v>0</v>
      </c>
      <c r="AM945" t="e" cm="1">
        <f t="array" aca="1" ref="AM945" ca="1">IF(B945="Yes",YEAR(TODAY()),BLANK())</f>
        <v>#NAME?</v>
      </c>
      <c r="AN945" t="str" cm="1">
        <f t="array" ref="AN945" xml:space="preserve"> _xlfn.IFS(A945&lt;25,"&lt;25",
A945&lt;=35,"25-35",
A945&lt;=45,"36-45",
TRUE,"45+"
)</f>
        <v>45+</v>
      </c>
      <c r="AO945" t="str" cm="1">
        <f t="array" ref="AO945">_xlfn.IFS(S945&lt;5000,"Low",
S945&lt;=15000,"Medium",
TRUE,"High")</f>
        <v>Low</v>
      </c>
    </row>
    <row r="946" spans="1:41" hidden="1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 t="str">
        <f t="shared" si="42"/>
        <v>Active</v>
      </c>
      <c r="AK946">
        <f t="shared" ca="1" si="43"/>
        <v>2015</v>
      </c>
      <c r="AL946">
        <f t="shared" si="44"/>
        <v>0</v>
      </c>
      <c r="AM946" t="e" cm="1">
        <f t="array" aca="1" ref="AM946" ca="1">IF(B946="Yes",YEAR(TODAY()),BLANK())</f>
        <v>#NAME?</v>
      </c>
      <c r="AN946" t="str" cm="1">
        <f t="array" ref="AN946" xml:space="preserve"> _xlfn.IFS(A946&lt;25,"&lt;25",
A946&lt;=35,"25-35",
A946&lt;=45,"36-45",
TRUE,"45+"
)</f>
        <v>25-35</v>
      </c>
      <c r="AO946" t="str" cm="1">
        <f t="array" ref="AO946">_xlfn.IFS(S946&lt;5000,"Low",
S946&lt;=15000,"Medium",
TRUE,"High")</f>
        <v>Medium</v>
      </c>
    </row>
    <row r="947" spans="1:41" hidden="1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 t="str">
        <f t="shared" si="42"/>
        <v>Active</v>
      </c>
      <c r="AK947">
        <f t="shared" ca="1" si="43"/>
        <v>2000</v>
      </c>
      <c r="AL947">
        <f t="shared" si="44"/>
        <v>0</v>
      </c>
      <c r="AM947" t="e" cm="1">
        <f t="array" aca="1" ref="AM947" ca="1">IF(B947="Yes",YEAR(TODAY()),BLANK())</f>
        <v>#NAME?</v>
      </c>
      <c r="AN947" t="str" cm="1">
        <f t="array" ref="AN947" xml:space="preserve"> _xlfn.IFS(A947&lt;25,"&lt;25",
A947&lt;=35,"25-35",
A947&lt;=45,"36-45",
TRUE,"45+"
)</f>
        <v>45+</v>
      </c>
      <c r="AO947" t="str" cm="1">
        <f t="array" ref="AO947">_xlfn.IFS(S947&lt;5000,"Low",
S947&lt;=15000,"Medium",
TRUE,"High")</f>
        <v>High</v>
      </c>
    </row>
    <row r="948" spans="1:41" hidden="1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 t="str">
        <f t="shared" si="42"/>
        <v>Resigned</v>
      </c>
      <c r="AK948">
        <f t="shared" ca="1" si="43"/>
        <v>2016</v>
      </c>
      <c r="AL948">
        <f t="shared" si="44"/>
        <v>1</v>
      </c>
      <c r="AM948" cm="1">
        <f t="array" aca="1" ref="AM948" ca="1">IF(B948="Yes",YEAR(TODAY()),BLANK())</f>
        <v>2025</v>
      </c>
      <c r="AN948" t="str" cm="1">
        <f t="array" ref="AN948" xml:space="preserve"> _xlfn.IFS(A948&lt;25,"&lt;25",
A948&lt;=35,"25-35",
A948&lt;=45,"36-45",
TRUE,"45+"
)</f>
        <v>36-45</v>
      </c>
      <c r="AO948" t="str" cm="1">
        <f t="array" ref="AO948">_xlfn.IFS(S948&lt;5000,"Low",
S948&lt;=15000,"Medium",
TRUE,"High")</f>
        <v>Medium</v>
      </c>
    </row>
    <row r="949" spans="1:41" hidden="1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 t="str">
        <f t="shared" si="42"/>
        <v>Resigned</v>
      </c>
      <c r="AK949">
        <f t="shared" ca="1" si="43"/>
        <v>2015</v>
      </c>
      <c r="AL949">
        <f t="shared" si="44"/>
        <v>1</v>
      </c>
      <c r="AM949" cm="1">
        <f t="array" aca="1" ref="AM949" ca="1">IF(B949="Yes",YEAR(TODAY()),BLANK())</f>
        <v>2025</v>
      </c>
      <c r="AN949" t="str" cm="1">
        <f t="array" ref="AN949" xml:space="preserve"> _xlfn.IFS(A949&lt;25,"&lt;25",
A949&lt;=35,"25-35",
A949&lt;=45,"36-45",
TRUE,"45+"
)</f>
        <v>45+</v>
      </c>
      <c r="AO949" t="str" cm="1">
        <f t="array" ref="AO949">_xlfn.IFS(S949&lt;5000,"Low",
S949&lt;=15000,"Medium",
TRUE,"High")</f>
        <v>Medium</v>
      </c>
    </row>
    <row r="950" spans="1:41" hidden="1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 t="str">
        <f t="shared" si="42"/>
        <v>Active</v>
      </c>
      <c r="AK950">
        <f t="shared" ca="1" si="43"/>
        <v>2016</v>
      </c>
      <c r="AL950">
        <f t="shared" si="44"/>
        <v>0</v>
      </c>
      <c r="AM950" t="e" cm="1">
        <f t="array" aca="1" ref="AM950" ca="1">IF(B950="Yes",YEAR(TODAY()),BLANK())</f>
        <v>#NAME?</v>
      </c>
      <c r="AN950" t="str" cm="1">
        <f t="array" ref="AN950" xml:space="preserve"> _xlfn.IFS(A950&lt;25,"&lt;25",
A950&lt;=35,"25-35",
A950&lt;=45,"36-45",
TRUE,"45+"
)</f>
        <v>25-35</v>
      </c>
      <c r="AO950" t="str" cm="1">
        <f t="array" ref="AO950">_xlfn.IFS(S950&lt;5000,"Low",
S950&lt;=15000,"Medium",
TRUE,"High")</f>
        <v>Medium</v>
      </c>
    </row>
    <row r="951" spans="1:41" hidden="1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 t="str">
        <f t="shared" si="42"/>
        <v>Active</v>
      </c>
      <c r="AK951">
        <f t="shared" ca="1" si="43"/>
        <v>2016</v>
      </c>
      <c r="AL951">
        <f t="shared" si="44"/>
        <v>0</v>
      </c>
      <c r="AM951" t="e" cm="1">
        <f t="array" aca="1" ref="AM951" ca="1">IF(B951="Yes",YEAR(TODAY()),BLANK())</f>
        <v>#NAME?</v>
      </c>
      <c r="AN951" t="str" cm="1">
        <f t="array" ref="AN951" xml:space="preserve"> _xlfn.IFS(A951&lt;25,"&lt;25",
A951&lt;=35,"25-35",
A951&lt;=45,"36-45",
TRUE,"45+"
)</f>
        <v>36-45</v>
      </c>
      <c r="AO951" t="str" cm="1">
        <f t="array" ref="AO951">_xlfn.IFS(S951&lt;5000,"Low",
S951&lt;=15000,"Medium",
TRUE,"High")</f>
        <v>Low</v>
      </c>
    </row>
    <row r="952" spans="1:41" hidden="1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 t="str">
        <f t="shared" si="42"/>
        <v>Active</v>
      </c>
      <c r="AK952">
        <f t="shared" ca="1" si="43"/>
        <v>2015</v>
      </c>
      <c r="AL952">
        <f t="shared" si="44"/>
        <v>0</v>
      </c>
      <c r="AM952" t="e" cm="1">
        <f t="array" aca="1" ref="AM952" ca="1">IF(B952="Yes",YEAR(TODAY()),BLANK())</f>
        <v>#NAME?</v>
      </c>
      <c r="AN952" t="str" cm="1">
        <f t="array" ref="AN952" xml:space="preserve"> _xlfn.IFS(A952&lt;25,"&lt;25",
A952&lt;=35,"25-35",
A952&lt;=45,"36-45",
TRUE,"45+"
)</f>
        <v>25-35</v>
      </c>
      <c r="AO952" t="str" cm="1">
        <f t="array" ref="AO952">_xlfn.IFS(S952&lt;5000,"Low",
S952&lt;=15000,"Medium",
TRUE,"High")</f>
        <v>Medium</v>
      </c>
    </row>
    <row r="953" spans="1:41" hidden="1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 t="str">
        <f t="shared" si="42"/>
        <v>Active</v>
      </c>
      <c r="AK953">
        <f t="shared" ca="1" si="43"/>
        <v>2006</v>
      </c>
      <c r="AL953">
        <f t="shared" si="44"/>
        <v>0</v>
      </c>
      <c r="AM953" t="e" cm="1">
        <f t="array" aca="1" ref="AM953" ca="1">IF(B953="Yes",YEAR(TODAY()),BLANK())</f>
        <v>#NAME?</v>
      </c>
      <c r="AN953" t="str" cm="1">
        <f t="array" ref="AN953" xml:space="preserve"> _xlfn.IFS(A953&lt;25,"&lt;25",
A953&lt;=35,"25-35",
A953&lt;=45,"36-45",
TRUE,"45+"
)</f>
        <v>36-45</v>
      </c>
      <c r="AO953" t="str" cm="1">
        <f t="array" ref="AO953">_xlfn.IFS(S953&lt;5000,"Low",
S953&lt;=15000,"Medium",
TRUE,"High")</f>
        <v>Medium</v>
      </c>
    </row>
    <row r="954" spans="1:41" hidden="1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 t="str">
        <f t="shared" si="42"/>
        <v>Resigned</v>
      </c>
      <c r="AK954">
        <f t="shared" ca="1" si="43"/>
        <v>2022</v>
      </c>
      <c r="AL954">
        <f t="shared" si="44"/>
        <v>1</v>
      </c>
      <c r="AM954" cm="1">
        <f t="array" aca="1" ref="AM954" ca="1">IF(B954="Yes",YEAR(TODAY()),BLANK())</f>
        <v>2025</v>
      </c>
      <c r="AN954" t="str" cm="1">
        <f t="array" ref="AN954" xml:space="preserve"> _xlfn.IFS(A954&lt;25,"&lt;25",
A954&lt;=35,"25-35",
A954&lt;=45,"36-45",
TRUE,"45+"
)</f>
        <v>25-35</v>
      </c>
      <c r="AO954" t="str" cm="1">
        <f t="array" ref="AO954">_xlfn.IFS(S954&lt;5000,"Low",
S954&lt;=15000,"Medium",
TRUE,"High")</f>
        <v>Low</v>
      </c>
    </row>
    <row r="955" spans="1:41" hidden="1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 t="str">
        <f t="shared" si="42"/>
        <v>Resigned</v>
      </c>
      <c r="AK955">
        <f t="shared" ca="1" si="43"/>
        <v>2015</v>
      </c>
      <c r="AL955">
        <f t="shared" si="44"/>
        <v>1</v>
      </c>
      <c r="AM955" cm="1">
        <f t="array" aca="1" ref="AM955" ca="1">IF(B955="Yes",YEAR(TODAY()),BLANK())</f>
        <v>2025</v>
      </c>
      <c r="AN955" t="str" cm="1">
        <f t="array" ref="AN955" xml:space="preserve"> _xlfn.IFS(A955&lt;25,"&lt;25",
A955&lt;=35,"25-35",
A955&lt;=45,"36-45",
TRUE,"45+"
)</f>
        <v>36-45</v>
      </c>
      <c r="AO955" t="str" cm="1">
        <f t="array" ref="AO955">_xlfn.IFS(S955&lt;5000,"Low",
S955&lt;=15000,"Medium",
TRUE,"High")</f>
        <v>Low</v>
      </c>
    </row>
    <row r="956" spans="1:41" hidden="1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 t="str">
        <f t="shared" si="42"/>
        <v>Active</v>
      </c>
      <c r="AK956">
        <f t="shared" ca="1" si="43"/>
        <v>2004</v>
      </c>
      <c r="AL956">
        <f t="shared" si="44"/>
        <v>0</v>
      </c>
      <c r="AM956" t="e" cm="1">
        <f t="array" aca="1" ref="AM956" ca="1">IF(B956="Yes",YEAR(TODAY()),BLANK())</f>
        <v>#NAME?</v>
      </c>
      <c r="AN956" t="str" cm="1">
        <f t="array" ref="AN956" xml:space="preserve"> _xlfn.IFS(A956&lt;25,"&lt;25",
A956&lt;=35,"25-35",
A956&lt;=45,"36-45",
TRUE,"45+"
)</f>
        <v>36-45</v>
      </c>
      <c r="AO956" t="str" cm="1">
        <f t="array" ref="AO956">_xlfn.IFS(S956&lt;5000,"Low",
S956&lt;=15000,"Medium",
TRUE,"High")</f>
        <v>High</v>
      </c>
    </row>
    <row r="957" spans="1:41" hidden="1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 t="str">
        <f t="shared" si="42"/>
        <v>Active</v>
      </c>
      <c r="AK957">
        <f t="shared" ca="1" si="43"/>
        <v>2002</v>
      </c>
      <c r="AL957">
        <f t="shared" si="44"/>
        <v>0</v>
      </c>
      <c r="AM957" t="e" cm="1">
        <f t="array" aca="1" ref="AM957" ca="1">IF(B957="Yes",YEAR(TODAY()),BLANK())</f>
        <v>#NAME?</v>
      </c>
      <c r="AN957" t="str" cm="1">
        <f t="array" ref="AN957" xml:space="preserve"> _xlfn.IFS(A957&lt;25,"&lt;25",
A957&lt;=35,"25-35",
A957&lt;=45,"36-45",
TRUE,"45+"
)</f>
        <v>45+</v>
      </c>
      <c r="AO957" t="str" cm="1">
        <f t="array" ref="AO957">_xlfn.IFS(S957&lt;5000,"Low",
S957&lt;=15000,"Medium",
TRUE,"High")</f>
        <v>High</v>
      </c>
    </row>
    <row r="958" spans="1:41" hidden="1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 t="str">
        <f t="shared" si="42"/>
        <v>Active</v>
      </c>
      <c r="AK958">
        <f t="shared" ca="1" si="43"/>
        <v>1989</v>
      </c>
      <c r="AL958">
        <f t="shared" si="44"/>
        <v>0</v>
      </c>
      <c r="AM958" t="e" cm="1">
        <f t="array" aca="1" ref="AM958" ca="1">IF(B958="Yes",YEAR(TODAY()),BLANK())</f>
        <v>#NAME?</v>
      </c>
      <c r="AN958" t="str" cm="1">
        <f t="array" ref="AN958" xml:space="preserve"> _xlfn.IFS(A958&lt;25,"&lt;25",
A958&lt;=35,"25-35",
A958&lt;=45,"36-45",
TRUE,"45+"
)</f>
        <v>45+</v>
      </c>
      <c r="AO958" t="str" cm="1">
        <f t="array" ref="AO958">_xlfn.IFS(S958&lt;5000,"Low",
S958&lt;=15000,"Medium",
TRUE,"High")</f>
        <v>High</v>
      </c>
    </row>
    <row r="959" spans="1:41" hidden="1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 t="str">
        <f t="shared" si="42"/>
        <v>Active</v>
      </c>
      <c r="AK959">
        <f t="shared" ca="1" si="43"/>
        <v>2019</v>
      </c>
      <c r="AL959">
        <f t="shared" si="44"/>
        <v>0</v>
      </c>
      <c r="AM959" t="e" cm="1">
        <f t="array" aca="1" ref="AM959" ca="1">IF(B959="Yes",YEAR(TODAY()),BLANK())</f>
        <v>#NAME?</v>
      </c>
      <c r="AN959" t="str" cm="1">
        <f t="array" ref="AN959" xml:space="preserve"> _xlfn.IFS(A959&lt;25,"&lt;25",
A959&lt;=35,"25-35",
A959&lt;=45,"36-45",
TRUE,"45+"
)</f>
        <v>36-45</v>
      </c>
      <c r="AO959" t="str" cm="1">
        <f t="array" ref="AO959">_xlfn.IFS(S959&lt;5000,"Low",
S959&lt;=15000,"Medium",
TRUE,"High")</f>
        <v>Low</v>
      </c>
    </row>
    <row r="960" spans="1:41" hidden="1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 t="str">
        <f t="shared" si="42"/>
        <v>Active</v>
      </c>
      <c r="AK960">
        <f t="shared" ca="1" si="43"/>
        <v>2015</v>
      </c>
      <c r="AL960">
        <f t="shared" si="44"/>
        <v>0</v>
      </c>
      <c r="AM960" t="e" cm="1">
        <f t="array" aca="1" ref="AM960" ca="1">IF(B960="Yes",YEAR(TODAY()),BLANK())</f>
        <v>#NAME?</v>
      </c>
      <c r="AN960" t="str" cm="1">
        <f t="array" ref="AN960" xml:space="preserve"> _xlfn.IFS(A960&lt;25,"&lt;25",
A960&lt;=35,"25-35",
A960&lt;=45,"36-45",
TRUE,"45+"
)</f>
        <v>25-35</v>
      </c>
      <c r="AO960" t="str" cm="1">
        <f t="array" ref="AO960">_xlfn.IFS(S960&lt;5000,"Low",
S960&lt;=15000,"Medium",
TRUE,"High")</f>
        <v>Medium</v>
      </c>
    </row>
    <row r="961" spans="1:41" hidden="1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 t="str">
        <f t="shared" si="42"/>
        <v>Active</v>
      </c>
      <c r="AK961">
        <f t="shared" ca="1" si="43"/>
        <v>2016</v>
      </c>
      <c r="AL961">
        <f t="shared" si="44"/>
        <v>0</v>
      </c>
      <c r="AM961" t="e" cm="1">
        <f t="array" aca="1" ref="AM961" ca="1">IF(B961="Yes",YEAR(TODAY()),BLANK())</f>
        <v>#NAME?</v>
      </c>
      <c r="AN961" t="str" cm="1">
        <f t="array" ref="AN961" xml:space="preserve"> _xlfn.IFS(A961&lt;25,"&lt;25",
A961&lt;=35,"25-35",
A961&lt;=45,"36-45",
TRUE,"45+"
)</f>
        <v>36-45</v>
      </c>
      <c r="AO961" t="str" cm="1">
        <f t="array" ref="AO961">_xlfn.IFS(S961&lt;5000,"Low",
S961&lt;=15000,"Medium",
TRUE,"High")</f>
        <v>Low</v>
      </c>
    </row>
    <row r="962" spans="1:41" hidden="1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 t="str">
        <f t="shared" si="42"/>
        <v>Active</v>
      </c>
      <c r="AK962">
        <f t="shared" ca="1" si="43"/>
        <v>2015</v>
      </c>
      <c r="AL962">
        <f t="shared" si="44"/>
        <v>0</v>
      </c>
      <c r="AM962" t="e" cm="1">
        <f t="array" aca="1" ref="AM962" ca="1">IF(B962="Yes",YEAR(TODAY()),BLANK())</f>
        <v>#NAME?</v>
      </c>
      <c r="AN962" t="str" cm="1">
        <f t="array" ref="AN962" xml:space="preserve"> _xlfn.IFS(A962&lt;25,"&lt;25",
A962&lt;=35,"25-35",
A962&lt;=45,"36-45",
TRUE,"45+"
)</f>
        <v>36-45</v>
      </c>
      <c r="AO962" t="str" cm="1">
        <f t="array" ref="AO962">_xlfn.IFS(S962&lt;5000,"Low",
S962&lt;=15000,"Medium",
TRUE,"High")</f>
        <v>Low</v>
      </c>
    </row>
    <row r="963" spans="1:41" hidden="1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 t="str">
        <f t="shared" ref="AJ963:AJ1026" si="45">IF(B963="Yes", "Resigned","Active")</f>
        <v>Active</v>
      </c>
      <c r="AK963">
        <f t="shared" ref="AK963:AK1026" ca="1" si="46">YEAR(TODAY()) - AC963</f>
        <v>2016</v>
      </c>
      <c r="AL963">
        <f t="shared" ref="AL963:AL1026" si="47">IF(B963="Yes",1,0)</f>
        <v>0</v>
      </c>
      <c r="AM963" t="e" cm="1">
        <f t="array" aca="1" ref="AM963" ca="1">IF(B963="Yes",YEAR(TODAY()),BLANK())</f>
        <v>#NAME?</v>
      </c>
      <c r="AN963" t="str" cm="1">
        <f t="array" ref="AN963" xml:space="preserve"> _xlfn.IFS(A963&lt;25,"&lt;25",
A963&lt;=35,"25-35",
A963&lt;=45,"36-45",
TRUE,"45+"
)</f>
        <v>25-35</v>
      </c>
      <c r="AO963" t="str" cm="1">
        <f t="array" ref="AO963">_xlfn.IFS(S963&lt;5000,"Low",
S963&lt;=15000,"Medium",
TRUE,"High")</f>
        <v>Low</v>
      </c>
    </row>
    <row r="964" spans="1:41" hidden="1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 t="str">
        <f t="shared" si="45"/>
        <v>Active</v>
      </c>
      <c r="AK964">
        <f t="shared" ca="1" si="46"/>
        <v>1992</v>
      </c>
      <c r="AL964">
        <f t="shared" si="47"/>
        <v>0</v>
      </c>
      <c r="AM964" t="e" cm="1">
        <f t="array" aca="1" ref="AM964" ca="1">IF(B964="Yes",YEAR(TODAY()),BLANK())</f>
        <v>#NAME?</v>
      </c>
      <c r="AN964" t="str" cm="1">
        <f t="array" ref="AN964" xml:space="preserve"> _xlfn.IFS(A964&lt;25,"&lt;25",
A964&lt;=35,"25-35",
A964&lt;=45,"36-45",
TRUE,"45+"
)</f>
        <v>45+</v>
      </c>
      <c r="AO964" t="str" cm="1">
        <f t="array" ref="AO964">_xlfn.IFS(S964&lt;5000,"Low",
S964&lt;=15000,"Medium",
TRUE,"High")</f>
        <v>Medium</v>
      </c>
    </row>
    <row r="965" spans="1:41" hidden="1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 t="str">
        <f t="shared" si="45"/>
        <v>Active</v>
      </c>
      <c r="AK965">
        <f t="shared" ca="1" si="46"/>
        <v>2014</v>
      </c>
      <c r="AL965">
        <f t="shared" si="47"/>
        <v>0</v>
      </c>
      <c r="AM965" t="e" cm="1">
        <f t="array" aca="1" ref="AM965" ca="1">IF(B965="Yes",YEAR(TODAY()),BLANK())</f>
        <v>#NAME?</v>
      </c>
      <c r="AN965" t="str" cm="1">
        <f t="array" ref="AN965" xml:space="preserve"> _xlfn.IFS(A965&lt;25,"&lt;25",
A965&lt;=35,"25-35",
A965&lt;=45,"36-45",
TRUE,"45+"
)</f>
        <v>36-45</v>
      </c>
      <c r="AO965" t="str" cm="1">
        <f t="array" ref="AO965">_xlfn.IFS(S965&lt;5000,"Low",
S965&lt;=15000,"Medium",
TRUE,"High")</f>
        <v>Medium</v>
      </c>
    </row>
    <row r="966" spans="1:41" hidden="1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 t="str">
        <f t="shared" si="45"/>
        <v>Active</v>
      </c>
      <c r="AK966">
        <f t="shared" ca="1" si="46"/>
        <v>2015</v>
      </c>
      <c r="AL966">
        <f t="shared" si="47"/>
        <v>0</v>
      </c>
      <c r="AM966" t="e" cm="1">
        <f t="array" aca="1" ref="AM966" ca="1">IF(B966="Yes",YEAR(TODAY()),BLANK())</f>
        <v>#NAME?</v>
      </c>
      <c r="AN966" t="str" cm="1">
        <f t="array" ref="AN966" xml:space="preserve"> _xlfn.IFS(A966&lt;25,"&lt;25",
A966&lt;=35,"25-35",
A966&lt;=45,"36-45",
TRUE,"45+"
)</f>
        <v>25-35</v>
      </c>
      <c r="AO966" t="str" cm="1">
        <f t="array" ref="AO966">_xlfn.IFS(S966&lt;5000,"Low",
S966&lt;=15000,"Medium",
TRUE,"High")</f>
        <v>Medium</v>
      </c>
    </row>
    <row r="967" spans="1:41" hidden="1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 t="str">
        <f t="shared" si="45"/>
        <v>Active</v>
      </c>
      <c r="AK967">
        <f t="shared" ca="1" si="46"/>
        <v>2018</v>
      </c>
      <c r="AL967">
        <f t="shared" si="47"/>
        <v>0</v>
      </c>
      <c r="AM967" t="e" cm="1">
        <f t="array" aca="1" ref="AM967" ca="1">IF(B967="Yes",YEAR(TODAY()),BLANK())</f>
        <v>#NAME?</v>
      </c>
      <c r="AN967" t="str" cm="1">
        <f t="array" ref="AN967" xml:space="preserve"> _xlfn.IFS(A967&lt;25,"&lt;25",
A967&lt;=35,"25-35",
A967&lt;=45,"36-45",
TRUE,"45+"
)</f>
        <v>25-35</v>
      </c>
      <c r="AO967" t="str" cm="1">
        <f t="array" ref="AO967">_xlfn.IFS(S967&lt;5000,"Low",
S967&lt;=15000,"Medium",
TRUE,"High")</f>
        <v>Low</v>
      </c>
    </row>
    <row r="968" spans="1:41" hidden="1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 t="str">
        <f t="shared" si="45"/>
        <v>Resigned</v>
      </c>
      <c r="AK968">
        <f t="shared" ca="1" si="46"/>
        <v>1994</v>
      </c>
      <c r="AL968">
        <f t="shared" si="47"/>
        <v>1</v>
      </c>
      <c r="AM968" cm="1">
        <f t="array" aca="1" ref="AM968" ca="1">IF(B968="Yes",YEAR(TODAY()),BLANK())</f>
        <v>2025</v>
      </c>
      <c r="AN968" t="str" cm="1">
        <f t="array" ref="AN968" xml:space="preserve"> _xlfn.IFS(A968&lt;25,"&lt;25",
A968&lt;=35,"25-35",
A968&lt;=45,"36-45",
TRUE,"45+"
)</f>
        <v>45+</v>
      </c>
      <c r="AO968" t="str" cm="1">
        <f t="array" ref="AO968">_xlfn.IFS(S968&lt;5000,"Low",
S968&lt;=15000,"Medium",
TRUE,"High")</f>
        <v>Medium</v>
      </c>
    </row>
    <row r="969" spans="1:41" hidden="1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 t="str">
        <f t="shared" si="45"/>
        <v>Active</v>
      </c>
      <c r="AK969">
        <f t="shared" ca="1" si="46"/>
        <v>2018</v>
      </c>
      <c r="AL969">
        <f t="shared" si="47"/>
        <v>0</v>
      </c>
      <c r="AM969" t="e" cm="1">
        <f t="array" aca="1" ref="AM969" ca="1">IF(B969="Yes",YEAR(TODAY()),BLANK())</f>
        <v>#NAME?</v>
      </c>
      <c r="AN969" t="str" cm="1">
        <f t="array" ref="AN969" xml:space="preserve"> _xlfn.IFS(A969&lt;25,"&lt;25",
A969&lt;=35,"25-35",
A969&lt;=45,"36-45",
TRUE,"45+"
)</f>
        <v>36-45</v>
      </c>
      <c r="AO969" t="str" cm="1">
        <f t="array" ref="AO969">_xlfn.IFS(S969&lt;5000,"Low",
S969&lt;=15000,"Medium",
TRUE,"High")</f>
        <v>Low</v>
      </c>
    </row>
    <row r="970" spans="1:41" hidden="1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 t="str">
        <f t="shared" si="45"/>
        <v>Active</v>
      </c>
      <c r="AK970">
        <f t="shared" ca="1" si="46"/>
        <v>2008</v>
      </c>
      <c r="AL970">
        <f t="shared" si="47"/>
        <v>0</v>
      </c>
      <c r="AM970" t="e" cm="1">
        <f t="array" aca="1" ref="AM970" ca="1">IF(B970="Yes",YEAR(TODAY()),BLANK())</f>
        <v>#NAME?</v>
      </c>
      <c r="AN970" t="str" cm="1">
        <f t="array" ref="AN970" xml:space="preserve"> _xlfn.IFS(A970&lt;25,"&lt;25",
A970&lt;=35,"25-35",
A970&lt;=45,"36-45",
TRUE,"45+"
)</f>
        <v>36-45</v>
      </c>
      <c r="AO970" t="str" cm="1">
        <f t="array" ref="AO970">_xlfn.IFS(S970&lt;5000,"Low",
S970&lt;=15000,"Medium",
TRUE,"High")</f>
        <v>Low</v>
      </c>
    </row>
    <row r="971" spans="1:41" hidden="1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 t="str">
        <f t="shared" si="45"/>
        <v>Active</v>
      </c>
      <c r="AK971">
        <f t="shared" ca="1" si="46"/>
        <v>2014</v>
      </c>
      <c r="AL971">
        <f t="shared" si="47"/>
        <v>0</v>
      </c>
      <c r="AM971" t="e" cm="1">
        <f t="array" aca="1" ref="AM971" ca="1">IF(B971="Yes",YEAR(TODAY()),BLANK())</f>
        <v>#NAME?</v>
      </c>
      <c r="AN971" t="str" cm="1">
        <f t="array" ref="AN971" xml:space="preserve"> _xlfn.IFS(A971&lt;25,"&lt;25",
A971&lt;=35,"25-35",
A971&lt;=45,"36-45",
TRUE,"45+"
)</f>
        <v>45+</v>
      </c>
      <c r="AO971" t="str" cm="1">
        <f t="array" ref="AO971">_xlfn.IFS(S971&lt;5000,"Low",
S971&lt;=15000,"Medium",
TRUE,"High")</f>
        <v>Medium</v>
      </c>
    </row>
    <row r="972" spans="1:41" hidden="1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 t="str">
        <f t="shared" si="45"/>
        <v>Active</v>
      </c>
      <c r="AK972">
        <f t="shared" ca="1" si="46"/>
        <v>2020</v>
      </c>
      <c r="AL972">
        <f t="shared" si="47"/>
        <v>0</v>
      </c>
      <c r="AM972" t="e" cm="1">
        <f t="array" aca="1" ref="AM972" ca="1">IF(B972="Yes",YEAR(TODAY()),BLANK())</f>
        <v>#NAME?</v>
      </c>
      <c r="AN972" t="str" cm="1">
        <f t="array" ref="AN972" xml:space="preserve"> _xlfn.IFS(A972&lt;25,"&lt;25",
A972&lt;=35,"25-35",
A972&lt;=45,"36-45",
TRUE,"45+"
)</f>
        <v>25-35</v>
      </c>
      <c r="AO972" t="str" cm="1">
        <f t="array" ref="AO972">_xlfn.IFS(S972&lt;5000,"Low",
S972&lt;=15000,"Medium",
TRUE,"High")</f>
        <v>Low</v>
      </c>
    </row>
    <row r="973" spans="1:41" hidden="1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 t="str">
        <f t="shared" si="45"/>
        <v>Active</v>
      </c>
      <c r="AK973">
        <f t="shared" ca="1" si="46"/>
        <v>1996</v>
      </c>
      <c r="AL973">
        <f t="shared" si="47"/>
        <v>0</v>
      </c>
      <c r="AM973" t="e" cm="1">
        <f t="array" aca="1" ref="AM973" ca="1">IF(B973="Yes",YEAR(TODAY()),BLANK())</f>
        <v>#NAME?</v>
      </c>
      <c r="AN973" t="str" cm="1">
        <f t="array" ref="AN973" xml:space="preserve"> _xlfn.IFS(A973&lt;25,"&lt;25",
A973&lt;=35,"25-35",
A973&lt;=45,"36-45",
TRUE,"45+"
)</f>
        <v>45+</v>
      </c>
      <c r="AO973" t="str" cm="1">
        <f t="array" ref="AO973">_xlfn.IFS(S973&lt;5000,"Low",
S973&lt;=15000,"Medium",
TRUE,"High")</f>
        <v>Medium</v>
      </c>
    </row>
    <row r="974" spans="1:41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 t="str">
        <f t="shared" si="45"/>
        <v>Active</v>
      </c>
      <c r="AK974">
        <f t="shared" ca="1" si="46"/>
        <v>2025</v>
      </c>
      <c r="AL974">
        <f t="shared" si="47"/>
        <v>0</v>
      </c>
      <c r="AM974" t="e" cm="1">
        <f t="array" aca="1" ref="AM974" ca="1">IF(B974="Yes",YEAR(TODAY()),BLANK())</f>
        <v>#NAME?</v>
      </c>
      <c r="AN974" t="str" cm="1">
        <f t="array" ref="AN974" xml:space="preserve"> _xlfn.IFS(A974&lt;25,"&lt;25",
A974&lt;=35,"25-35",
A974&lt;=45,"36-45",
TRUE,"45+"
)</f>
        <v>&lt;25</v>
      </c>
      <c r="AO974" t="str" cm="1">
        <f t="array" ref="AO974">_xlfn.IFS(S974&lt;5000,"Low",
S974&lt;=15000,"Medium",
TRUE,"High")</f>
        <v>Low</v>
      </c>
    </row>
    <row r="975" spans="1:41" hidden="1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 t="str">
        <f t="shared" si="45"/>
        <v>Active</v>
      </c>
      <c r="AK975">
        <f t="shared" ca="1" si="46"/>
        <v>2015</v>
      </c>
      <c r="AL975">
        <f t="shared" si="47"/>
        <v>0</v>
      </c>
      <c r="AM975" t="e" cm="1">
        <f t="array" aca="1" ref="AM975" ca="1">IF(B975="Yes",YEAR(TODAY()),BLANK())</f>
        <v>#NAME?</v>
      </c>
      <c r="AN975" t="str" cm="1">
        <f t="array" ref="AN975" xml:space="preserve"> _xlfn.IFS(A975&lt;25,"&lt;25",
A975&lt;=35,"25-35",
A975&lt;=45,"36-45",
TRUE,"45+"
)</f>
        <v>25-35</v>
      </c>
      <c r="AO975" t="str" cm="1">
        <f t="array" ref="AO975">_xlfn.IFS(S975&lt;5000,"Low",
S975&lt;=15000,"Medium",
TRUE,"High")</f>
        <v>Medium</v>
      </c>
    </row>
    <row r="976" spans="1:41" hidden="1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 t="str">
        <f t="shared" si="45"/>
        <v>Active</v>
      </c>
      <c r="AK976">
        <f t="shared" ca="1" si="46"/>
        <v>2017</v>
      </c>
      <c r="AL976">
        <f t="shared" si="47"/>
        <v>0</v>
      </c>
      <c r="AM976" t="e" cm="1">
        <f t="array" aca="1" ref="AM976" ca="1">IF(B976="Yes",YEAR(TODAY()),BLANK())</f>
        <v>#NAME?</v>
      </c>
      <c r="AN976" t="str" cm="1">
        <f t="array" ref="AN976" xml:space="preserve"> _xlfn.IFS(A976&lt;25,"&lt;25",
A976&lt;=35,"25-35",
A976&lt;=45,"36-45",
TRUE,"45+"
)</f>
        <v>25-35</v>
      </c>
      <c r="AO976" t="str" cm="1">
        <f t="array" ref="AO976">_xlfn.IFS(S976&lt;5000,"Low",
S976&lt;=15000,"Medium",
TRUE,"High")</f>
        <v>Medium</v>
      </c>
    </row>
    <row r="977" spans="1:41" hidden="1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 t="str">
        <f t="shared" si="45"/>
        <v>Resigned</v>
      </c>
      <c r="AK977">
        <f t="shared" ca="1" si="46"/>
        <v>2001</v>
      </c>
      <c r="AL977">
        <f t="shared" si="47"/>
        <v>1</v>
      </c>
      <c r="AM977" cm="1">
        <f t="array" aca="1" ref="AM977" ca="1">IF(B977="Yes",YEAR(TODAY()),BLANK())</f>
        <v>2025</v>
      </c>
      <c r="AN977" t="str" cm="1">
        <f t="array" ref="AN977" xml:space="preserve"> _xlfn.IFS(A977&lt;25,"&lt;25",
A977&lt;=35,"25-35",
A977&lt;=45,"36-45",
TRUE,"45+"
)</f>
        <v>45+</v>
      </c>
      <c r="AO977" t="str" cm="1">
        <f t="array" ref="AO977">_xlfn.IFS(S977&lt;5000,"Low",
S977&lt;=15000,"Medium",
TRUE,"High")</f>
        <v>Medium</v>
      </c>
    </row>
    <row r="978" spans="1:41" hidden="1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 t="str">
        <f t="shared" si="45"/>
        <v>Active</v>
      </c>
      <c r="AK978">
        <f t="shared" ca="1" si="46"/>
        <v>1992</v>
      </c>
      <c r="AL978">
        <f t="shared" si="47"/>
        <v>0</v>
      </c>
      <c r="AM978" t="e" cm="1">
        <f t="array" aca="1" ref="AM978" ca="1">IF(B978="Yes",YEAR(TODAY()),BLANK())</f>
        <v>#NAME?</v>
      </c>
      <c r="AN978" t="str" cm="1">
        <f t="array" ref="AN978" xml:space="preserve"> _xlfn.IFS(A978&lt;25,"&lt;25",
A978&lt;=35,"25-35",
A978&lt;=45,"36-45",
TRUE,"45+"
)</f>
        <v>45+</v>
      </c>
      <c r="AO978" t="str" cm="1">
        <f t="array" ref="AO978">_xlfn.IFS(S978&lt;5000,"Low",
S978&lt;=15000,"Medium",
TRUE,"High")</f>
        <v>Medium</v>
      </c>
    </row>
    <row r="979" spans="1:41" hidden="1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 t="str">
        <f t="shared" si="45"/>
        <v>Active</v>
      </c>
      <c r="AK979">
        <f t="shared" ca="1" si="46"/>
        <v>2020</v>
      </c>
      <c r="AL979">
        <f t="shared" si="47"/>
        <v>0</v>
      </c>
      <c r="AM979" t="e" cm="1">
        <f t="array" aca="1" ref="AM979" ca="1">IF(B979="Yes",YEAR(TODAY()),BLANK())</f>
        <v>#NAME?</v>
      </c>
      <c r="AN979" t="str" cm="1">
        <f t="array" ref="AN979" xml:space="preserve"> _xlfn.IFS(A979&lt;25,"&lt;25",
A979&lt;=35,"25-35",
A979&lt;=45,"36-45",
TRUE,"45+"
)</f>
        <v>25-35</v>
      </c>
      <c r="AO979" t="str" cm="1">
        <f t="array" ref="AO979">_xlfn.IFS(S979&lt;5000,"Low",
S979&lt;=15000,"Medium",
TRUE,"High")</f>
        <v>Low</v>
      </c>
    </row>
    <row r="980" spans="1:41" hidden="1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 t="str">
        <f t="shared" si="45"/>
        <v>Active</v>
      </c>
      <c r="AK980">
        <f t="shared" ca="1" si="46"/>
        <v>2010</v>
      </c>
      <c r="AL980">
        <f t="shared" si="47"/>
        <v>0</v>
      </c>
      <c r="AM980" t="e" cm="1">
        <f t="array" aca="1" ref="AM980" ca="1">IF(B980="Yes",YEAR(TODAY()),BLANK())</f>
        <v>#NAME?</v>
      </c>
      <c r="AN980" t="str" cm="1">
        <f t="array" ref="AN980" xml:space="preserve"> _xlfn.IFS(A980&lt;25,"&lt;25",
A980&lt;=35,"25-35",
A980&lt;=45,"36-45",
TRUE,"45+"
)</f>
        <v>36-45</v>
      </c>
      <c r="AO980" t="str" cm="1">
        <f t="array" ref="AO980">_xlfn.IFS(S980&lt;5000,"Low",
S980&lt;=15000,"Medium",
TRUE,"High")</f>
        <v>Medium</v>
      </c>
    </row>
    <row r="981" spans="1:41" hidden="1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 t="str">
        <f t="shared" si="45"/>
        <v>Active</v>
      </c>
      <c r="AK981">
        <f t="shared" ca="1" si="46"/>
        <v>2015</v>
      </c>
      <c r="AL981">
        <f t="shared" si="47"/>
        <v>0</v>
      </c>
      <c r="AM981" t="e" cm="1">
        <f t="array" aca="1" ref="AM981" ca="1">IF(B981="Yes",YEAR(TODAY()),BLANK())</f>
        <v>#NAME?</v>
      </c>
      <c r="AN981" t="str" cm="1">
        <f t="array" ref="AN981" xml:space="preserve"> _xlfn.IFS(A981&lt;25,"&lt;25",
A981&lt;=35,"25-35",
A981&lt;=45,"36-45",
TRUE,"45+"
)</f>
        <v>25-35</v>
      </c>
      <c r="AO981" t="str" cm="1">
        <f t="array" ref="AO981">_xlfn.IFS(S981&lt;5000,"Low",
S981&lt;=15000,"Medium",
TRUE,"High")</f>
        <v>Medium</v>
      </c>
    </row>
    <row r="982" spans="1:41" hidden="1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 t="str">
        <f t="shared" si="45"/>
        <v>Resigned</v>
      </c>
      <c r="AK982">
        <f t="shared" ca="1" si="46"/>
        <v>2022</v>
      </c>
      <c r="AL982">
        <f t="shared" si="47"/>
        <v>1</v>
      </c>
      <c r="AM982" cm="1">
        <f t="array" aca="1" ref="AM982" ca="1">IF(B982="Yes",YEAR(TODAY()),BLANK())</f>
        <v>2025</v>
      </c>
      <c r="AN982" t="str" cm="1">
        <f t="array" ref="AN982" xml:space="preserve"> _xlfn.IFS(A982&lt;25,"&lt;25",
A982&lt;=35,"25-35",
A982&lt;=45,"36-45",
TRUE,"45+"
)</f>
        <v>25-35</v>
      </c>
      <c r="AO982" t="str" cm="1">
        <f t="array" ref="AO982">_xlfn.IFS(S982&lt;5000,"Low",
S982&lt;=15000,"Medium",
TRUE,"High")</f>
        <v>Low</v>
      </c>
    </row>
    <row r="983" spans="1:41" hidden="1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 t="str">
        <f t="shared" si="45"/>
        <v>Resigned</v>
      </c>
      <c r="AK983">
        <f t="shared" ca="1" si="46"/>
        <v>2020</v>
      </c>
      <c r="AL983">
        <f t="shared" si="47"/>
        <v>1</v>
      </c>
      <c r="AM983" cm="1">
        <f t="array" aca="1" ref="AM983" ca="1">IF(B983="Yes",YEAR(TODAY()),BLANK())</f>
        <v>2025</v>
      </c>
      <c r="AN983" t="str" cm="1">
        <f t="array" ref="AN983" xml:space="preserve"> _xlfn.IFS(A983&lt;25,"&lt;25",
A983&lt;=35,"25-35",
A983&lt;=45,"36-45",
TRUE,"45+"
)</f>
        <v>25-35</v>
      </c>
      <c r="AO983" t="str" cm="1">
        <f t="array" ref="AO983">_xlfn.IFS(S983&lt;5000,"Low",
S983&lt;=15000,"Medium",
TRUE,"High")</f>
        <v>Low</v>
      </c>
    </row>
    <row r="984" spans="1:41" hidden="1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 t="str">
        <f t="shared" si="45"/>
        <v>Active</v>
      </c>
      <c r="AK984">
        <f t="shared" ca="1" si="46"/>
        <v>2021</v>
      </c>
      <c r="AL984">
        <f t="shared" si="47"/>
        <v>0</v>
      </c>
      <c r="AM984" t="e" cm="1">
        <f t="array" aca="1" ref="AM984" ca="1">IF(B984="Yes",YEAR(TODAY()),BLANK())</f>
        <v>#NAME?</v>
      </c>
      <c r="AN984" t="str" cm="1">
        <f t="array" ref="AN984" xml:space="preserve"> _xlfn.IFS(A984&lt;25,"&lt;25",
A984&lt;=35,"25-35",
A984&lt;=45,"36-45",
TRUE,"45+"
)</f>
        <v>36-45</v>
      </c>
      <c r="AO984" t="str" cm="1">
        <f t="array" ref="AO984">_xlfn.IFS(S984&lt;5000,"Low",
S984&lt;=15000,"Medium",
TRUE,"High")</f>
        <v>Low</v>
      </c>
    </row>
    <row r="985" spans="1:41" hidden="1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 t="str">
        <f t="shared" si="45"/>
        <v>Active</v>
      </c>
      <c r="AK985">
        <f t="shared" ca="1" si="46"/>
        <v>2011</v>
      </c>
      <c r="AL985">
        <f t="shared" si="47"/>
        <v>0</v>
      </c>
      <c r="AM985" t="e" cm="1">
        <f t="array" aca="1" ref="AM985" ca="1">IF(B985="Yes",YEAR(TODAY()),BLANK())</f>
        <v>#NAME?</v>
      </c>
      <c r="AN985" t="str" cm="1">
        <f t="array" ref="AN985" xml:space="preserve"> _xlfn.IFS(A985&lt;25,"&lt;25",
A985&lt;=35,"25-35",
A985&lt;=45,"36-45",
TRUE,"45+"
)</f>
        <v>25-35</v>
      </c>
      <c r="AO985" t="str" cm="1">
        <f t="array" ref="AO985">_xlfn.IFS(S985&lt;5000,"Low",
S985&lt;=15000,"Medium",
TRUE,"High")</f>
        <v>Medium</v>
      </c>
    </row>
    <row r="986" spans="1:41" hidden="1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 t="str">
        <f t="shared" si="45"/>
        <v>Active</v>
      </c>
      <c r="AK986">
        <f t="shared" ca="1" si="46"/>
        <v>2020</v>
      </c>
      <c r="AL986">
        <f t="shared" si="47"/>
        <v>0</v>
      </c>
      <c r="AM986" t="e" cm="1">
        <f t="array" aca="1" ref="AM986" ca="1">IF(B986="Yes",YEAR(TODAY()),BLANK())</f>
        <v>#NAME?</v>
      </c>
      <c r="AN986" t="str" cm="1">
        <f t="array" ref="AN986" xml:space="preserve"> _xlfn.IFS(A986&lt;25,"&lt;25",
A986&lt;=35,"25-35",
A986&lt;=45,"36-45",
TRUE,"45+"
)</f>
        <v>25-35</v>
      </c>
      <c r="AO986" t="str" cm="1">
        <f t="array" ref="AO986">_xlfn.IFS(S986&lt;5000,"Low",
S986&lt;=15000,"Medium",
TRUE,"High")</f>
        <v>Low</v>
      </c>
    </row>
    <row r="987" spans="1:41" hidden="1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 t="str">
        <f t="shared" si="45"/>
        <v>Resigned</v>
      </c>
      <c r="AK987">
        <f t="shared" ca="1" si="46"/>
        <v>2015</v>
      </c>
      <c r="AL987">
        <f t="shared" si="47"/>
        <v>1</v>
      </c>
      <c r="AM987" cm="1">
        <f t="array" aca="1" ref="AM987" ca="1">IF(B987="Yes",YEAR(TODAY()),BLANK())</f>
        <v>2025</v>
      </c>
      <c r="AN987" t="str" cm="1">
        <f t="array" ref="AN987" xml:space="preserve"> _xlfn.IFS(A987&lt;25,"&lt;25",
A987&lt;=35,"25-35",
A987&lt;=45,"36-45",
TRUE,"45+"
)</f>
        <v>25-35</v>
      </c>
      <c r="AO987" t="str" cm="1">
        <f t="array" ref="AO987">_xlfn.IFS(S987&lt;5000,"Low",
S987&lt;=15000,"Medium",
TRUE,"High")</f>
        <v>Medium</v>
      </c>
    </row>
    <row r="988" spans="1:41" hidden="1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 t="str">
        <f t="shared" si="45"/>
        <v>Active</v>
      </c>
      <c r="AK988">
        <f t="shared" ca="1" si="46"/>
        <v>2017</v>
      </c>
      <c r="AL988">
        <f t="shared" si="47"/>
        <v>0</v>
      </c>
      <c r="AM988" t="e" cm="1">
        <f t="array" aca="1" ref="AM988" ca="1">IF(B988="Yes",YEAR(TODAY()),BLANK())</f>
        <v>#NAME?</v>
      </c>
      <c r="AN988" t="str" cm="1">
        <f t="array" ref="AN988" xml:space="preserve"> _xlfn.IFS(A988&lt;25,"&lt;25",
A988&lt;=35,"25-35",
A988&lt;=45,"36-45",
TRUE,"45+"
)</f>
        <v>36-45</v>
      </c>
      <c r="AO988" t="str" cm="1">
        <f t="array" ref="AO988">_xlfn.IFS(S988&lt;5000,"Low",
S988&lt;=15000,"Medium",
TRUE,"High")</f>
        <v>Medium</v>
      </c>
    </row>
    <row r="989" spans="1:41" hidden="1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 t="str">
        <f t="shared" si="45"/>
        <v>Active</v>
      </c>
      <c r="AK989">
        <f t="shared" ca="1" si="46"/>
        <v>2011</v>
      </c>
      <c r="AL989">
        <f t="shared" si="47"/>
        <v>0</v>
      </c>
      <c r="AM989" t="e" cm="1">
        <f t="array" aca="1" ref="AM989" ca="1">IF(B989="Yes",YEAR(TODAY()),BLANK())</f>
        <v>#NAME?</v>
      </c>
      <c r="AN989" t="str" cm="1">
        <f t="array" ref="AN989" xml:space="preserve"> _xlfn.IFS(A989&lt;25,"&lt;25",
A989&lt;=35,"25-35",
A989&lt;=45,"36-45",
TRUE,"45+"
)</f>
        <v>45+</v>
      </c>
      <c r="AO989" t="str" cm="1">
        <f t="array" ref="AO989">_xlfn.IFS(S989&lt;5000,"Low",
S989&lt;=15000,"Medium",
TRUE,"High")</f>
        <v>Medium</v>
      </c>
    </row>
    <row r="990" spans="1:41" hidden="1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 t="str">
        <f t="shared" si="45"/>
        <v>Active</v>
      </c>
      <c r="AK990">
        <f t="shared" ca="1" si="46"/>
        <v>2013</v>
      </c>
      <c r="AL990">
        <f t="shared" si="47"/>
        <v>0</v>
      </c>
      <c r="AM990" t="e" cm="1">
        <f t="array" aca="1" ref="AM990" ca="1">IF(B990="Yes",YEAR(TODAY()),BLANK())</f>
        <v>#NAME?</v>
      </c>
      <c r="AN990" t="str" cm="1">
        <f t="array" ref="AN990" xml:space="preserve"> _xlfn.IFS(A990&lt;25,"&lt;25",
A990&lt;=35,"25-35",
A990&lt;=45,"36-45",
TRUE,"45+"
)</f>
        <v>36-45</v>
      </c>
      <c r="AO990" t="str" cm="1">
        <f t="array" ref="AO990">_xlfn.IFS(S990&lt;5000,"Low",
S990&lt;=15000,"Medium",
TRUE,"High")</f>
        <v>Medium</v>
      </c>
    </row>
    <row r="991" spans="1:41" hidden="1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 t="str">
        <f t="shared" si="45"/>
        <v>Active</v>
      </c>
      <c r="AK991">
        <f t="shared" ca="1" si="46"/>
        <v>2017</v>
      </c>
      <c r="AL991">
        <f t="shared" si="47"/>
        <v>0</v>
      </c>
      <c r="AM991" t="e" cm="1">
        <f t="array" aca="1" ref="AM991" ca="1">IF(B991="Yes",YEAR(TODAY()),BLANK())</f>
        <v>#NAME?</v>
      </c>
      <c r="AN991" t="str" cm="1">
        <f t="array" ref="AN991" xml:space="preserve"> _xlfn.IFS(A991&lt;25,"&lt;25",
A991&lt;=35,"25-35",
A991&lt;=45,"36-45",
TRUE,"45+"
)</f>
        <v>36-45</v>
      </c>
      <c r="AO991" t="str" cm="1">
        <f t="array" ref="AO991">_xlfn.IFS(S991&lt;5000,"Low",
S991&lt;=15000,"Medium",
TRUE,"High")</f>
        <v>Low</v>
      </c>
    </row>
    <row r="992" spans="1:41" hidden="1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 t="str">
        <f t="shared" si="45"/>
        <v>Active</v>
      </c>
      <c r="AK992">
        <f t="shared" ca="1" si="46"/>
        <v>2017</v>
      </c>
      <c r="AL992">
        <f t="shared" si="47"/>
        <v>0</v>
      </c>
      <c r="AM992" t="e" cm="1">
        <f t="array" aca="1" ref="AM992" ca="1">IF(B992="Yes",YEAR(TODAY()),BLANK())</f>
        <v>#NAME?</v>
      </c>
      <c r="AN992" t="str" cm="1">
        <f t="array" ref="AN992" xml:space="preserve"> _xlfn.IFS(A992&lt;25,"&lt;25",
A992&lt;=35,"25-35",
A992&lt;=45,"36-45",
TRUE,"45+"
)</f>
        <v>25-35</v>
      </c>
      <c r="AO992" t="str" cm="1">
        <f t="array" ref="AO992">_xlfn.IFS(S992&lt;5000,"Low",
S992&lt;=15000,"Medium",
TRUE,"High")</f>
        <v>Medium</v>
      </c>
    </row>
    <row r="993" spans="1:41" hidden="1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 t="str">
        <f t="shared" si="45"/>
        <v>Active</v>
      </c>
      <c r="AK993">
        <f t="shared" ca="1" si="46"/>
        <v>2021</v>
      </c>
      <c r="AL993">
        <f t="shared" si="47"/>
        <v>0</v>
      </c>
      <c r="AM993" t="e" cm="1">
        <f t="array" aca="1" ref="AM993" ca="1">IF(B993="Yes",YEAR(TODAY()),BLANK())</f>
        <v>#NAME?</v>
      </c>
      <c r="AN993" t="str" cm="1">
        <f t="array" ref="AN993" xml:space="preserve"> _xlfn.IFS(A993&lt;25,"&lt;25",
A993&lt;=35,"25-35",
A993&lt;=45,"36-45",
TRUE,"45+"
)</f>
        <v>25-35</v>
      </c>
      <c r="AO993" t="str" cm="1">
        <f t="array" ref="AO993">_xlfn.IFS(S993&lt;5000,"Low",
S993&lt;=15000,"Medium",
TRUE,"High")</f>
        <v>Low</v>
      </c>
    </row>
    <row r="994" spans="1:41" hidden="1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 t="str">
        <f t="shared" si="45"/>
        <v>Active</v>
      </c>
      <c r="AK994">
        <f t="shared" ca="1" si="46"/>
        <v>2012</v>
      </c>
      <c r="AL994">
        <f t="shared" si="47"/>
        <v>0</v>
      </c>
      <c r="AM994" t="e" cm="1">
        <f t="array" aca="1" ref="AM994" ca="1">IF(B994="Yes",YEAR(TODAY()),BLANK())</f>
        <v>#NAME?</v>
      </c>
      <c r="AN994" t="str" cm="1">
        <f t="array" ref="AN994" xml:space="preserve"> _xlfn.IFS(A994&lt;25,"&lt;25",
A994&lt;=35,"25-35",
A994&lt;=45,"36-45",
TRUE,"45+"
)</f>
        <v>36-45</v>
      </c>
      <c r="AO994" t="str" cm="1">
        <f t="array" ref="AO994">_xlfn.IFS(S994&lt;5000,"Low",
S994&lt;=15000,"Medium",
TRUE,"High")</f>
        <v>Medium</v>
      </c>
    </row>
    <row r="995" spans="1:41" hidden="1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 t="str">
        <f t="shared" si="45"/>
        <v>Active</v>
      </c>
      <c r="AK995">
        <f t="shared" ca="1" si="46"/>
        <v>2019</v>
      </c>
      <c r="AL995">
        <f t="shared" si="47"/>
        <v>0</v>
      </c>
      <c r="AM995" t="e" cm="1">
        <f t="array" aca="1" ref="AM995" ca="1">IF(B995="Yes",YEAR(TODAY()),BLANK())</f>
        <v>#NAME?</v>
      </c>
      <c r="AN995" t="str" cm="1">
        <f t="array" ref="AN995" xml:space="preserve"> _xlfn.IFS(A995&lt;25,"&lt;25",
A995&lt;=35,"25-35",
A995&lt;=45,"36-45",
TRUE,"45+"
)</f>
        <v>25-35</v>
      </c>
      <c r="AO995" t="str" cm="1">
        <f t="array" ref="AO995">_xlfn.IFS(S995&lt;5000,"Low",
S995&lt;=15000,"Medium",
TRUE,"High")</f>
        <v>Medium</v>
      </c>
    </row>
    <row r="996" spans="1:41" hidden="1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 t="str">
        <f t="shared" si="45"/>
        <v>Active</v>
      </c>
      <c r="AK996">
        <f t="shared" ca="1" si="46"/>
        <v>2001</v>
      </c>
      <c r="AL996">
        <f t="shared" si="47"/>
        <v>0</v>
      </c>
      <c r="AM996" t="e" cm="1">
        <f t="array" aca="1" ref="AM996" ca="1">IF(B996="Yes",YEAR(TODAY()),BLANK())</f>
        <v>#NAME?</v>
      </c>
      <c r="AN996" t="str" cm="1">
        <f t="array" ref="AN996" xml:space="preserve"> _xlfn.IFS(A996&lt;25,"&lt;25",
A996&lt;=35,"25-35",
A996&lt;=45,"36-45",
TRUE,"45+"
)</f>
        <v>45+</v>
      </c>
      <c r="AO996" t="str" cm="1">
        <f t="array" ref="AO996">_xlfn.IFS(S996&lt;5000,"Low",
S996&lt;=15000,"Medium",
TRUE,"High")</f>
        <v>Medium</v>
      </c>
    </row>
    <row r="997" spans="1:41" hidden="1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 t="str">
        <f t="shared" si="45"/>
        <v>Active</v>
      </c>
      <c r="AK997">
        <f t="shared" ca="1" si="46"/>
        <v>2005</v>
      </c>
      <c r="AL997">
        <f t="shared" si="47"/>
        <v>0</v>
      </c>
      <c r="AM997" t="e" cm="1">
        <f t="array" aca="1" ref="AM997" ca="1">IF(B997="Yes",YEAR(TODAY()),BLANK())</f>
        <v>#NAME?</v>
      </c>
      <c r="AN997" t="str" cm="1">
        <f t="array" ref="AN997" xml:space="preserve"> _xlfn.IFS(A997&lt;25,"&lt;25",
A997&lt;=35,"25-35",
A997&lt;=45,"36-45",
TRUE,"45+"
)</f>
        <v>36-45</v>
      </c>
      <c r="AO997" t="str" cm="1">
        <f t="array" ref="AO997">_xlfn.IFS(S997&lt;5000,"Low",
S997&lt;=15000,"Medium",
TRUE,"High")</f>
        <v>Low</v>
      </c>
    </row>
    <row r="998" spans="1:41" hidden="1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 t="str">
        <f t="shared" si="45"/>
        <v>Active</v>
      </c>
      <c r="AK998">
        <f t="shared" ca="1" si="46"/>
        <v>2019</v>
      </c>
      <c r="AL998">
        <f t="shared" si="47"/>
        <v>0</v>
      </c>
      <c r="AM998" t="e" cm="1">
        <f t="array" aca="1" ref="AM998" ca="1">IF(B998="Yes",YEAR(TODAY()),BLANK())</f>
        <v>#NAME?</v>
      </c>
      <c r="AN998" t="str" cm="1">
        <f t="array" ref="AN998" xml:space="preserve"> _xlfn.IFS(A998&lt;25,"&lt;25",
A998&lt;=35,"25-35",
A998&lt;=45,"36-45",
TRUE,"45+"
)</f>
        <v>25-35</v>
      </c>
      <c r="AO998" t="str" cm="1">
        <f t="array" ref="AO998">_xlfn.IFS(S998&lt;5000,"Low",
S998&lt;=15000,"Medium",
TRUE,"High")</f>
        <v>Medium</v>
      </c>
    </row>
    <row r="999" spans="1:41" hidden="1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 t="str">
        <f t="shared" si="45"/>
        <v>Resigned</v>
      </c>
      <c r="AK999">
        <f t="shared" ca="1" si="46"/>
        <v>2017</v>
      </c>
      <c r="AL999">
        <f t="shared" si="47"/>
        <v>1</v>
      </c>
      <c r="AM999" cm="1">
        <f t="array" aca="1" ref="AM999" ca="1">IF(B999="Yes",YEAR(TODAY()),BLANK())</f>
        <v>2025</v>
      </c>
      <c r="AN999" t="str" cm="1">
        <f t="array" ref="AN999" xml:space="preserve"> _xlfn.IFS(A999&lt;25,"&lt;25",
A999&lt;=35,"25-35",
A999&lt;=45,"36-45",
TRUE,"45+"
)</f>
        <v>25-35</v>
      </c>
      <c r="AO999" t="str" cm="1">
        <f t="array" ref="AO999">_xlfn.IFS(S999&lt;5000,"Low",
S999&lt;=15000,"Medium",
TRUE,"High")</f>
        <v>Low</v>
      </c>
    </row>
    <row r="1000" spans="1:41" hidden="1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 t="str">
        <f t="shared" si="45"/>
        <v>Active</v>
      </c>
      <c r="AK1000">
        <f t="shared" ca="1" si="46"/>
        <v>2020</v>
      </c>
      <c r="AL1000">
        <f t="shared" si="47"/>
        <v>0</v>
      </c>
      <c r="AM1000" t="e" cm="1">
        <f t="array" aca="1" ref="AM1000" ca="1">IF(B1000="Yes",YEAR(TODAY()),BLANK())</f>
        <v>#NAME?</v>
      </c>
      <c r="AN1000" t="str" cm="1">
        <f t="array" ref="AN1000" xml:space="preserve"> _xlfn.IFS(A1000&lt;25,"&lt;25",
A1000&lt;=35,"25-35",
A1000&lt;=45,"36-45",
TRUE,"45+"
)</f>
        <v>25-35</v>
      </c>
      <c r="AO1000" t="str" cm="1">
        <f t="array" ref="AO1000">_xlfn.IFS(S1000&lt;5000,"Low",
S1000&lt;=15000,"Medium",
TRUE,"High")</f>
        <v>Low</v>
      </c>
    </row>
    <row r="1001" spans="1:41" hidden="1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 t="str">
        <f t="shared" si="45"/>
        <v>Active</v>
      </c>
      <c r="AK1001">
        <f t="shared" ca="1" si="46"/>
        <v>2004</v>
      </c>
      <c r="AL1001">
        <f t="shared" si="47"/>
        <v>0</v>
      </c>
      <c r="AM1001" t="e" cm="1">
        <f t="array" aca="1" ref="AM1001" ca="1">IF(B1001="Yes",YEAR(TODAY()),BLANK())</f>
        <v>#NAME?</v>
      </c>
      <c r="AN1001" t="str" cm="1">
        <f t="array" ref="AN1001" xml:space="preserve"> _xlfn.IFS(A1001&lt;25,"&lt;25",
A1001&lt;=35,"25-35",
A1001&lt;=45,"36-45",
TRUE,"45+"
)</f>
        <v>36-45</v>
      </c>
      <c r="AO1001" t="str" cm="1">
        <f t="array" ref="AO1001">_xlfn.IFS(S1001&lt;5000,"Low",
S1001&lt;=15000,"Medium",
TRUE,"High")</f>
        <v>High</v>
      </c>
    </row>
    <row r="1002" spans="1:41" hidden="1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 t="str">
        <f t="shared" si="45"/>
        <v>Active</v>
      </c>
      <c r="AK1002">
        <f t="shared" ca="1" si="46"/>
        <v>2013</v>
      </c>
      <c r="AL1002">
        <f t="shared" si="47"/>
        <v>0</v>
      </c>
      <c r="AM1002" t="e" cm="1">
        <f t="array" aca="1" ref="AM1002" ca="1">IF(B1002="Yes",YEAR(TODAY()),BLANK())</f>
        <v>#NAME?</v>
      </c>
      <c r="AN1002" t="str" cm="1">
        <f t="array" ref="AN1002" xml:space="preserve"> _xlfn.IFS(A1002&lt;25,"&lt;25",
A1002&lt;=35,"25-35",
A1002&lt;=45,"36-45",
TRUE,"45+"
)</f>
        <v>45+</v>
      </c>
      <c r="AO1002" t="str" cm="1">
        <f t="array" ref="AO1002">_xlfn.IFS(S1002&lt;5000,"Low",
S1002&lt;=15000,"Medium",
TRUE,"High")</f>
        <v>Low</v>
      </c>
    </row>
    <row r="1003" spans="1:41" hidden="1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 t="str">
        <f t="shared" si="45"/>
        <v>Active</v>
      </c>
      <c r="AK1003">
        <f t="shared" ca="1" si="46"/>
        <v>2017</v>
      </c>
      <c r="AL1003">
        <f t="shared" si="47"/>
        <v>0</v>
      </c>
      <c r="AM1003" t="e" cm="1">
        <f t="array" aca="1" ref="AM1003" ca="1">IF(B1003="Yes",YEAR(TODAY()),BLANK())</f>
        <v>#NAME?</v>
      </c>
      <c r="AN1003" t="str" cm="1">
        <f t="array" ref="AN1003" xml:space="preserve"> _xlfn.IFS(A1003&lt;25,"&lt;25",
A1003&lt;=35,"25-35",
A1003&lt;=45,"36-45",
TRUE,"45+"
)</f>
        <v>36-45</v>
      </c>
      <c r="AO1003" t="str" cm="1">
        <f t="array" ref="AO1003">_xlfn.IFS(S1003&lt;5000,"Low",
S1003&lt;=15000,"Medium",
TRUE,"High")</f>
        <v>Low</v>
      </c>
    </row>
    <row r="1004" spans="1:41" hidden="1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 t="str">
        <f t="shared" si="45"/>
        <v>Active</v>
      </c>
      <c r="AK1004">
        <f t="shared" ca="1" si="46"/>
        <v>2015</v>
      </c>
      <c r="AL1004">
        <f t="shared" si="47"/>
        <v>0</v>
      </c>
      <c r="AM1004" t="e" cm="1">
        <f t="array" aca="1" ref="AM1004" ca="1">IF(B1004="Yes",YEAR(TODAY()),BLANK())</f>
        <v>#NAME?</v>
      </c>
      <c r="AN1004" t="str" cm="1">
        <f t="array" ref="AN1004" xml:space="preserve"> _xlfn.IFS(A1004&lt;25,"&lt;25",
A1004&lt;=35,"25-35",
A1004&lt;=45,"36-45",
TRUE,"45+"
)</f>
        <v>25-35</v>
      </c>
      <c r="AO1004" t="str" cm="1">
        <f t="array" ref="AO1004">_xlfn.IFS(S1004&lt;5000,"Low",
S1004&lt;=15000,"Medium",
TRUE,"High")</f>
        <v>Medium</v>
      </c>
    </row>
    <row r="1005" spans="1:41" hidden="1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 t="str">
        <f t="shared" si="45"/>
        <v>Active</v>
      </c>
      <c r="AK1005">
        <f t="shared" ca="1" si="46"/>
        <v>2018</v>
      </c>
      <c r="AL1005">
        <f t="shared" si="47"/>
        <v>0</v>
      </c>
      <c r="AM1005" t="e" cm="1">
        <f t="array" aca="1" ref="AM1005" ca="1">IF(B1005="Yes",YEAR(TODAY()),BLANK())</f>
        <v>#NAME?</v>
      </c>
      <c r="AN1005" t="str" cm="1">
        <f t="array" ref="AN1005" xml:space="preserve"> _xlfn.IFS(A1005&lt;25,"&lt;25",
A1005&lt;=35,"25-35",
A1005&lt;=45,"36-45",
TRUE,"45+"
)</f>
        <v>25-35</v>
      </c>
      <c r="AO1005" t="str" cm="1">
        <f t="array" ref="AO1005">_xlfn.IFS(S1005&lt;5000,"Low",
S1005&lt;=15000,"Medium",
TRUE,"High")</f>
        <v>Low</v>
      </c>
    </row>
    <row r="1006" spans="1:41" hidden="1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 t="str">
        <f t="shared" si="45"/>
        <v>Active</v>
      </c>
      <c r="AK1006">
        <f t="shared" ca="1" si="46"/>
        <v>2017</v>
      </c>
      <c r="AL1006">
        <f t="shared" si="47"/>
        <v>0</v>
      </c>
      <c r="AM1006" t="e" cm="1">
        <f t="array" aca="1" ref="AM1006" ca="1">IF(B1006="Yes",YEAR(TODAY()),BLANK())</f>
        <v>#NAME?</v>
      </c>
      <c r="AN1006" t="str" cm="1">
        <f t="array" ref="AN1006" xml:space="preserve"> _xlfn.IFS(A1006&lt;25,"&lt;25",
A1006&lt;=35,"25-35",
A1006&lt;=45,"36-45",
TRUE,"45+"
)</f>
        <v>25-35</v>
      </c>
      <c r="AO1006" t="str" cm="1">
        <f t="array" ref="AO1006">_xlfn.IFS(S1006&lt;5000,"Low",
S1006&lt;=15000,"Medium",
TRUE,"High")</f>
        <v>Low</v>
      </c>
    </row>
    <row r="1007" spans="1:41" hidden="1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 t="str">
        <f t="shared" si="45"/>
        <v>Active</v>
      </c>
      <c r="AK1007">
        <f t="shared" ca="1" si="46"/>
        <v>2015</v>
      </c>
      <c r="AL1007">
        <f t="shared" si="47"/>
        <v>0</v>
      </c>
      <c r="AM1007" t="e" cm="1">
        <f t="array" aca="1" ref="AM1007" ca="1">IF(B1007="Yes",YEAR(TODAY()),BLANK())</f>
        <v>#NAME?</v>
      </c>
      <c r="AN1007" t="str" cm="1">
        <f t="array" ref="AN1007" xml:space="preserve"> _xlfn.IFS(A1007&lt;25,"&lt;25",
A1007&lt;=35,"25-35",
A1007&lt;=45,"36-45",
TRUE,"45+"
)</f>
        <v>25-35</v>
      </c>
      <c r="AO1007" t="str" cm="1">
        <f t="array" ref="AO1007">_xlfn.IFS(S1007&lt;5000,"Low",
S1007&lt;=15000,"Medium",
TRUE,"High")</f>
        <v>Medium</v>
      </c>
    </row>
    <row r="1008" spans="1:41" hidden="1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 t="str">
        <f t="shared" si="45"/>
        <v>Resigned</v>
      </c>
      <c r="AK1008">
        <f t="shared" ca="1" si="46"/>
        <v>2005</v>
      </c>
      <c r="AL1008">
        <f t="shared" si="47"/>
        <v>1</v>
      </c>
      <c r="AM1008" cm="1">
        <f t="array" aca="1" ref="AM1008" ca="1">IF(B1008="Yes",YEAR(TODAY()),BLANK())</f>
        <v>2025</v>
      </c>
      <c r="AN1008" t="str" cm="1">
        <f t="array" ref="AN1008" xml:space="preserve"> _xlfn.IFS(A1008&lt;25,"&lt;25",
A1008&lt;=35,"25-35",
A1008&lt;=45,"36-45",
TRUE,"45+"
)</f>
        <v>45+</v>
      </c>
      <c r="AO1008" t="str" cm="1">
        <f t="array" ref="AO1008">_xlfn.IFS(S1008&lt;5000,"Low",
S1008&lt;=15000,"Medium",
TRUE,"High")</f>
        <v>Low</v>
      </c>
    </row>
    <row r="1009" spans="1:41" hidden="1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 t="str">
        <f t="shared" si="45"/>
        <v>Resigned</v>
      </c>
      <c r="AK1009">
        <f t="shared" ca="1" si="46"/>
        <v>2016</v>
      </c>
      <c r="AL1009">
        <f t="shared" si="47"/>
        <v>1</v>
      </c>
      <c r="AM1009" cm="1">
        <f t="array" aca="1" ref="AM1009" ca="1">IF(B1009="Yes",YEAR(TODAY()),BLANK())</f>
        <v>2025</v>
      </c>
      <c r="AN1009" t="str" cm="1">
        <f t="array" ref="AN1009" xml:space="preserve"> _xlfn.IFS(A1009&lt;25,"&lt;25",
A1009&lt;=35,"25-35",
A1009&lt;=45,"36-45",
TRUE,"45+"
)</f>
        <v>25-35</v>
      </c>
      <c r="AO1009" t="str" cm="1">
        <f t="array" ref="AO1009">_xlfn.IFS(S1009&lt;5000,"Low",
S1009&lt;=15000,"Medium",
TRUE,"High")</f>
        <v>Medium</v>
      </c>
    </row>
    <row r="1010" spans="1:41" hidden="1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 t="str">
        <f t="shared" si="45"/>
        <v>Active</v>
      </c>
      <c r="AK1010">
        <f t="shared" ca="1" si="46"/>
        <v>1996</v>
      </c>
      <c r="AL1010">
        <f t="shared" si="47"/>
        <v>0</v>
      </c>
      <c r="AM1010" t="e" cm="1">
        <f t="array" aca="1" ref="AM1010" ca="1">IF(B1010="Yes",YEAR(TODAY()),BLANK())</f>
        <v>#NAME?</v>
      </c>
      <c r="AN1010" t="str" cm="1">
        <f t="array" ref="AN1010" xml:space="preserve"> _xlfn.IFS(A1010&lt;25,"&lt;25",
A1010&lt;=35,"25-35",
A1010&lt;=45,"36-45",
TRUE,"45+"
)</f>
        <v>45+</v>
      </c>
      <c r="AO1010" t="str" cm="1">
        <f t="array" ref="AO1010">_xlfn.IFS(S1010&lt;5000,"Low",
S1010&lt;=15000,"Medium",
TRUE,"High")</f>
        <v>High</v>
      </c>
    </row>
    <row r="1011" spans="1:41" hidden="1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 t="str">
        <f t="shared" si="45"/>
        <v>Active</v>
      </c>
      <c r="AK1011">
        <f t="shared" ca="1" si="46"/>
        <v>1993</v>
      </c>
      <c r="AL1011">
        <f t="shared" si="47"/>
        <v>0</v>
      </c>
      <c r="AM1011" t="e" cm="1">
        <f t="array" aca="1" ref="AM1011" ca="1">IF(B1011="Yes",YEAR(TODAY()),BLANK())</f>
        <v>#NAME?</v>
      </c>
      <c r="AN1011" t="str" cm="1">
        <f t="array" ref="AN1011" xml:space="preserve"> _xlfn.IFS(A1011&lt;25,"&lt;25",
A1011&lt;=35,"25-35",
A1011&lt;=45,"36-45",
TRUE,"45+"
)</f>
        <v>45+</v>
      </c>
      <c r="AO1011" t="str" cm="1">
        <f t="array" ref="AO1011">_xlfn.IFS(S1011&lt;5000,"Low",
S1011&lt;=15000,"Medium",
TRUE,"High")</f>
        <v>High</v>
      </c>
    </row>
    <row r="1012" spans="1:41" hidden="1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 t="str">
        <f t="shared" si="45"/>
        <v>Active</v>
      </c>
      <c r="AK1012">
        <f t="shared" ca="1" si="46"/>
        <v>1994</v>
      </c>
      <c r="AL1012">
        <f t="shared" si="47"/>
        <v>0</v>
      </c>
      <c r="AM1012" t="e" cm="1">
        <f t="array" aca="1" ref="AM1012" ca="1">IF(B1012="Yes",YEAR(TODAY()),BLANK())</f>
        <v>#NAME?</v>
      </c>
      <c r="AN1012" t="str" cm="1">
        <f t="array" ref="AN1012" xml:space="preserve"> _xlfn.IFS(A1012&lt;25,"&lt;25",
A1012&lt;=35,"25-35",
A1012&lt;=45,"36-45",
TRUE,"45+"
)</f>
        <v>45+</v>
      </c>
      <c r="AO1012" t="str" cm="1">
        <f t="array" ref="AO1012">_xlfn.IFS(S1012&lt;5000,"Low",
S1012&lt;=15000,"Medium",
TRUE,"High")</f>
        <v>Medium</v>
      </c>
    </row>
    <row r="1013" spans="1:41" hidden="1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 t="str">
        <f t="shared" si="45"/>
        <v>Active</v>
      </c>
      <c r="AK1013">
        <f t="shared" ca="1" si="46"/>
        <v>2010</v>
      </c>
      <c r="AL1013">
        <f t="shared" si="47"/>
        <v>0</v>
      </c>
      <c r="AM1013" t="e" cm="1">
        <f t="array" aca="1" ref="AM1013" ca="1">IF(B1013="Yes",YEAR(TODAY()),BLANK())</f>
        <v>#NAME?</v>
      </c>
      <c r="AN1013" t="str" cm="1">
        <f t="array" ref="AN1013" xml:space="preserve"> _xlfn.IFS(A1013&lt;25,"&lt;25",
A1013&lt;=35,"25-35",
A1013&lt;=45,"36-45",
TRUE,"45+"
)</f>
        <v>36-45</v>
      </c>
      <c r="AO1013" t="str" cm="1">
        <f t="array" ref="AO1013">_xlfn.IFS(S1013&lt;5000,"Low",
S1013&lt;=15000,"Medium",
TRUE,"High")</f>
        <v>Medium</v>
      </c>
    </row>
    <row r="1014" spans="1:41" hidden="1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 t="str">
        <f t="shared" si="45"/>
        <v>Resigned</v>
      </c>
      <c r="AK1014">
        <f t="shared" ca="1" si="46"/>
        <v>2024</v>
      </c>
      <c r="AL1014">
        <f t="shared" si="47"/>
        <v>1</v>
      </c>
      <c r="AM1014" cm="1">
        <f t="array" aca="1" ref="AM1014" ca="1">IF(B1014="Yes",YEAR(TODAY()),BLANK())</f>
        <v>2025</v>
      </c>
      <c r="AN1014" t="str" cm="1">
        <f t="array" ref="AN1014" xml:space="preserve"> _xlfn.IFS(A1014&lt;25,"&lt;25",
A1014&lt;=35,"25-35",
A1014&lt;=45,"36-45",
TRUE,"45+"
)</f>
        <v>25-35</v>
      </c>
      <c r="AO1014" t="str" cm="1">
        <f t="array" ref="AO1014">_xlfn.IFS(S1014&lt;5000,"Low",
S1014&lt;=15000,"Medium",
TRUE,"High")</f>
        <v>Low</v>
      </c>
    </row>
    <row r="1015" spans="1:41" hidden="1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 t="str">
        <f t="shared" si="45"/>
        <v>Active</v>
      </c>
      <c r="AK1015">
        <f t="shared" ca="1" si="46"/>
        <v>2017</v>
      </c>
      <c r="AL1015">
        <f t="shared" si="47"/>
        <v>0</v>
      </c>
      <c r="AM1015" t="e" cm="1">
        <f t="array" aca="1" ref="AM1015" ca="1">IF(B1015="Yes",YEAR(TODAY()),BLANK())</f>
        <v>#NAME?</v>
      </c>
      <c r="AN1015" t="str" cm="1">
        <f t="array" ref="AN1015" xml:space="preserve"> _xlfn.IFS(A1015&lt;25,"&lt;25",
A1015&lt;=35,"25-35",
A1015&lt;=45,"36-45",
TRUE,"45+"
)</f>
        <v>25-35</v>
      </c>
      <c r="AO1015" t="str" cm="1">
        <f t="array" ref="AO1015">_xlfn.IFS(S1015&lt;5000,"Low",
S1015&lt;=15000,"Medium",
TRUE,"High")</f>
        <v>Low</v>
      </c>
    </row>
    <row r="1016" spans="1:41" hidden="1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 t="str">
        <f t="shared" si="45"/>
        <v>Active</v>
      </c>
      <c r="AK1016">
        <f t="shared" ca="1" si="46"/>
        <v>2016</v>
      </c>
      <c r="AL1016">
        <f t="shared" si="47"/>
        <v>0</v>
      </c>
      <c r="AM1016" t="e" cm="1">
        <f t="array" aca="1" ref="AM1016" ca="1">IF(B1016="Yes",YEAR(TODAY()),BLANK())</f>
        <v>#NAME?</v>
      </c>
      <c r="AN1016" t="str" cm="1">
        <f t="array" ref="AN1016" xml:space="preserve"> _xlfn.IFS(A1016&lt;25,"&lt;25",
A1016&lt;=35,"25-35",
A1016&lt;=45,"36-45",
TRUE,"45+"
)</f>
        <v>25-35</v>
      </c>
      <c r="AO1016" t="str" cm="1">
        <f t="array" ref="AO1016">_xlfn.IFS(S1016&lt;5000,"Low",
S1016&lt;=15000,"Medium",
TRUE,"High")</f>
        <v>High</v>
      </c>
    </row>
    <row r="1017" spans="1:41" hidden="1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 t="str">
        <f t="shared" si="45"/>
        <v>Active</v>
      </c>
      <c r="AK1017">
        <f t="shared" ca="1" si="46"/>
        <v>2015</v>
      </c>
      <c r="AL1017">
        <f t="shared" si="47"/>
        <v>0</v>
      </c>
      <c r="AM1017" t="e" cm="1">
        <f t="array" aca="1" ref="AM1017" ca="1">IF(B1017="Yes",YEAR(TODAY()),BLANK())</f>
        <v>#NAME?</v>
      </c>
      <c r="AN1017" t="str" cm="1">
        <f t="array" ref="AN1017" xml:space="preserve"> _xlfn.IFS(A1017&lt;25,"&lt;25",
A1017&lt;=35,"25-35",
A1017&lt;=45,"36-45",
TRUE,"45+"
)</f>
        <v>25-35</v>
      </c>
      <c r="AO1017" t="str" cm="1">
        <f t="array" ref="AO1017">_xlfn.IFS(S1017&lt;5000,"Low",
S1017&lt;=15000,"Medium",
TRUE,"High")</f>
        <v>Low</v>
      </c>
    </row>
    <row r="1018" spans="1:41" hidden="1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 t="str">
        <f t="shared" si="45"/>
        <v>Resigned</v>
      </c>
      <c r="AK1018">
        <f t="shared" ca="1" si="46"/>
        <v>2024</v>
      </c>
      <c r="AL1018">
        <f t="shared" si="47"/>
        <v>1</v>
      </c>
      <c r="AM1018" cm="1">
        <f t="array" aca="1" ref="AM1018" ca="1">IF(B1018="Yes",YEAR(TODAY()),BLANK())</f>
        <v>2025</v>
      </c>
      <c r="AN1018" t="str" cm="1">
        <f t="array" ref="AN1018" xml:space="preserve"> _xlfn.IFS(A1018&lt;25,"&lt;25",
A1018&lt;=35,"25-35",
A1018&lt;=45,"36-45",
TRUE,"45+"
)</f>
        <v>25-35</v>
      </c>
      <c r="AO1018" t="str" cm="1">
        <f t="array" ref="AO1018">_xlfn.IFS(S1018&lt;5000,"Low",
S1018&lt;=15000,"Medium",
TRUE,"High")</f>
        <v>Low</v>
      </c>
    </row>
    <row r="1019" spans="1:41" hidden="1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 t="str">
        <f t="shared" si="45"/>
        <v>Active</v>
      </c>
      <c r="AK1019">
        <f t="shared" ca="1" si="46"/>
        <v>2019</v>
      </c>
      <c r="AL1019">
        <f t="shared" si="47"/>
        <v>0</v>
      </c>
      <c r="AM1019" t="e" cm="1">
        <f t="array" aca="1" ref="AM1019" ca="1">IF(B1019="Yes",YEAR(TODAY()),BLANK())</f>
        <v>#NAME?</v>
      </c>
      <c r="AN1019" t="str" cm="1">
        <f t="array" ref="AN1019" xml:space="preserve"> _xlfn.IFS(A1019&lt;25,"&lt;25",
A1019&lt;=35,"25-35",
A1019&lt;=45,"36-45",
TRUE,"45+"
)</f>
        <v>25-35</v>
      </c>
      <c r="AO1019" t="str" cm="1">
        <f t="array" ref="AO1019">_xlfn.IFS(S1019&lt;5000,"Low",
S1019&lt;=15000,"Medium",
TRUE,"High")</f>
        <v>Low</v>
      </c>
    </row>
    <row r="1020" spans="1:41" hidden="1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 t="str">
        <f t="shared" si="45"/>
        <v>Active</v>
      </c>
      <c r="AK1020">
        <f t="shared" ca="1" si="46"/>
        <v>2015</v>
      </c>
      <c r="AL1020">
        <f t="shared" si="47"/>
        <v>0</v>
      </c>
      <c r="AM1020" t="e" cm="1">
        <f t="array" aca="1" ref="AM1020" ca="1">IF(B1020="Yes",YEAR(TODAY()),BLANK())</f>
        <v>#NAME?</v>
      </c>
      <c r="AN1020" t="str" cm="1">
        <f t="array" ref="AN1020" xml:space="preserve"> _xlfn.IFS(A1020&lt;25,"&lt;25",
A1020&lt;=35,"25-35",
A1020&lt;=45,"36-45",
TRUE,"45+"
)</f>
        <v>36-45</v>
      </c>
      <c r="AO1020" t="str" cm="1">
        <f t="array" ref="AO1020">_xlfn.IFS(S1020&lt;5000,"Low",
S1020&lt;=15000,"Medium",
TRUE,"High")</f>
        <v>Medium</v>
      </c>
    </row>
    <row r="1021" spans="1:41" hidden="1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 t="str">
        <f t="shared" si="45"/>
        <v>Active</v>
      </c>
      <c r="AK1021">
        <f t="shared" ca="1" si="46"/>
        <v>2014</v>
      </c>
      <c r="AL1021">
        <f t="shared" si="47"/>
        <v>0</v>
      </c>
      <c r="AM1021" t="e" cm="1">
        <f t="array" aca="1" ref="AM1021" ca="1">IF(B1021="Yes",YEAR(TODAY()),BLANK())</f>
        <v>#NAME?</v>
      </c>
      <c r="AN1021" t="str" cm="1">
        <f t="array" ref="AN1021" xml:space="preserve"> _xlfn.IFS(A1021&lt;25,"&lt;25",
A1021&lt;=35,"25-35",
A1021&lt;=45,"36-45",
TRUE,"45+"
)</f>
        <v>36-45</v>
      </c>
      <c r="AO1021" t="str" cm="1">
        <f t="array" ref="AO1021">_xlfn.IFS(S1021&lt;5000,"Low",
S1021&lt;=15000,"Medium",
TRUE,"High")</f>
        <v>Medium</v>
      </c>
    </row>
    <row r="1022" spans="1:41" hidden="1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 t="str">
        <f t="shared" si="45"/>
        <v>Active</v>
      </c>
      <c r="AK1022">
        <f t="shared" ca="1" si="46"/>
        <v>2008</v>
      </c>
      <c r="AL1022">
        <f t="shared" si="47"/>
        <v>0</v>
      </c>
      <c r="AM1022" t="e" cm="1">
        <f t="array" aca="1" ref="AM1022" ca="1">IF(B1022="Yes",YEAR(TODAY()),BLANK())</f>
        <v>#NAME?</v>
      </c>
      <c r="AN1022" t="str" cm="1">
        <f t="array" ref="AN1022" xml:space="preserve"> _xlfn.IFS(A1022&lt;25,"&lt;25",
A1022&lt;=35,"25-35",
A1022&lt;=45,"36-45",
TRUE,"45+"
)</f>
        <v>45+</v>
      </c>
      <c r="AO1022" t="str" cm="1">
        <f t="array" ref="AO1022">_xlfn.IFS(S1022&lt;5000,"Low",
S1022&lt;=15000,"Medium",
TRUE,"High")</f>
        <v>Low</v>
      </c>
    </row>
    <row r="1023" spans="1:41" hidden="1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 t="str">
        <f t="shared" si="45"/>
        <v>Resigned</v>
      </c>
      <c r="AK1023">
        <f t="shared" ca="1" si="46"/>
        <v>2019</v>
      </c>
      <c r="AL1023">
        <f t="shared" si="47"/>
        <v>1</v>
      </c>
      <c r="AM1023" cm="1">
        <f t="array" aca="1" ref="AM1023" ca="1">IF(B1023="Yes",YEAR(TODAY()),BLANK())</f>
        <v>2025</v>
      </c>
      <c r="AN1023" t="str" cm="1">
        <f t="array" ref="AN1023" xml:space="preserve"> _xlfn.IFS(A1023&lt;25,"&lt;25",
A1023&lt;=35,"25-35",
A1023&lt;=45,"36-45",
TRUE,"45+"
)</f>
        <v>25-35</v>
      </c>
      <c r="AO1023" t="str" cm="1">
        <f t="array" ref="AO1023">_xlfn.IFS(S1023&lt;5000,"Low",
S1023&lt;=15000,"Medium",
TRUE,"High")</f>
        <v>Low</v>
      </c>
    </row>
    <row r="1024" spans="1:41" hidden="1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 t="str">
        <f t="shared" si="45"/>
        <v>Active</v>
      </c>
      <c r="AK1024">
        <f t="shared" ca="1" si="46"/>
        <v>2018</v>
      </c>
      <c r="AL1024">
        <f t="shared" si="47"/>
        <v>0</v>
      </c>
      <c r="AM1024" t="e" cm="1">
        <f t="array" aca="1" ref="AM1024" ca="1">IF(B1024="Yes",YEAR(TODAY()),BLANK())</f>
        <v>#NAME?</v>
      </c>
      <c r="AN1024" t="str" cm="1">
        <f t="array" ref="AN1024" xml:space="preserve"> _xlfn.IFS(A1024&lt;25,"&lt;25",
A1024&lt;=35,"25-35",
A1024&lt;=45,"36-45",
TRUE,"45+"
)</f>
        <v>36-45</v>
      </c>
      <c r="AO1024" t="str" cm="1">
        <f t="array" ref="AO1024">_xlfn.IFS(S1024&lt;5000,"Low",
S1024&lt;=15000,"Medium",
TRUE,"High")</f>
        <v>Low</v>
      </c>
    </row>
    <row r="1025" spans="1:41" hidden="1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 t="str">
        <f t="shared" si="45"/>
        <v>Active</v>
      </c>
      <c r="AK1025">
        <f t="shared" ca="1" si="46"/>
        <v>2020</v>
      </c>
      <c r="AL1025">
        <f t="shared" si="47"/>
        <v>0</v>
      </c>
      <c r="AM1025" t="e" cm="1">
        <f t="array" aca="1" ref="AM1025" ca="1">IF(B1025="Yes",YEAR(TODAY()),BLANK())</f>
        <v>#NAME?</v>
      </c>
      <c r="AN1025" t="str" cm="1">
        <f t="array" ref="AN1025" xml:space="preserve"> _xlfn.IFS(A1025&lt;25,"&lt;25",
A1025&lt;=35,"25-35",
A1025&lt;=45,"36-45",
TRUE,"45+"
)</f>
        <v>45+</v>
      </c>
      <c r="AO1025" t="str" cm="1">
        <f t="array" ref="AO1025">_xlfn.IFS(S1025&lt;5000,"Low",
S1025&lt;=15000,"Medium",
TRUE,"High")</f>
        <v>Low</v>
      </c>
    </row>
    <row r="1026" spans="1:41" hidden="1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 t="str">
        <f t="shared" si="45"/>
        <v>Active</v>
      </c>
      <c r="AK1026">
        <f t="shared" ca="1" si="46"/>
        <v>1999</v>
      </c>
      <c r="AL1026">
        <f t="shared" si="47"/>
        <v>0</v>
      </c>
      <c r="AM1026" t="e" cm="1">
        <f t="array" aca="1" ref="AM1026" ca="1">IF(B1026="Yes",YEAR(TODAY()),BLANK())</f>
        <v>#NAME?</v>
      </c>
      <c r="AN1026" t="str" cm="1">
        <f t="array" ref="AN1026" xml:space="preserve"> _xlfn.IFS(A1026&lt;25,"&lt;25",
A1026&lt;=35,"25-35",
A1026&lt;=45,"36-45",
TRUE,"45+"
)</f>
        <v>45+</v>
      </c>
      <c r="AO1026" t="str" cm="1">
        <f t="array" ref="AO1026">_xlfn.IFS(S1026&lt;5000,"Low",
S1026&lt;=15000,"Medium",
TRUE,"High")</f>
        <v>High</v>
      </c>
    </row>
    <row r="1027" spans="1:41" hidden="1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 t="str">
        <f t="shared" ref="AJ1027:AJ1090" si="48">IF(B1027="Yes", "Resigned","Active")</f>
        <v>Active</v>
      </c>
      <c r="AK1027">
        <f t="shared" ref="AK1027:AK1090" ca="1" si="49">YEAR(TODAY()) - AC1027</f>
        <v>2020</v>
      </c>
      <c r="AL1027">
        <f t="shared" ref="AL1027:AL1090" si="50">IF(B1027="Yes",1,0)</f>
        <v>0</v>
      </c>
      <c r="AM1027" t="e" cm="1">
        <f t="array" aca="1" ref="AM1027" ca="1">IF(B1027="Yes",YEAR(TODAY()),BLANK())</f>
        <v>#NAME?</v>
      </c>
      <c r="AN1027" t="str" cm="1">
        <f t="array" ref="AN1027" xml:space="preserve"> _xlfn.IFS(A1027&lt;25,"&lt;25",
A1027&lt;=35,"25-35",
A1027&lt;=45,"36-45",
TRUE,"45+"
)</f>
        <v>&lt;25</v>
      </c>
      <c r="AO1027" t="str" cm="1">
        <f t="array" ref="AO1027">_xlfn.IFS(S1027&lt;5000,"Low",
S1027&lt;=15000,"Medium",
TRUE,"High")</f>
        <v>Low</v>
      </c>
    </row>
    <row r="1028" spans="1:41" hidden="1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 t="str">
        <f t="shared" si="48"/>
        <v>Active</v>
      </c>
      <c r="AK1028">
        <f t="shared" ca="1" si="49"/>
        <v>2018</v>
      </c>
      <c r="AL1028">
        <f t="shared" si="50"/>
        <v>0</v>
      </c>
      <c r="AM1028" t="e" cm="1">
        <f t="array" aca="1" ref="AM1028" ca="1">IF(B1028="Yes",YEAR(TODAY()),BLANK())</f>
        <v>#NAME?</v>
      </c>
      <c r="AN1028" t="str" cm="1">
        <f t="array" ref="AN1028" xml:space="preserve"> _xlfn.IFS(A1028&lt;25,"&lt;25",
A1028&lt;=35,"25-35",
A1028&lt;=45,"36-45",
TRUE,"45+"
)</f>
        <v>25-35</v>
      </c>
      <c r="AO1028" t="str" cm="1">
        <f t="array" ref="AO1028">_xlfn.IFS(S1028&lt;5000,"Low",
S1028&lt;=15000,"Medium",
TRUE,"High")</f>
        <v>Medium</v>
      </c>
    </row>
    <row r="1029" spans="1:41" hidden="1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 t="str">
        <f t="shared" si="48"/>
        <v>Active</v>
      </c>
      <c r="AK1029">
        <f t="shared" ca="1" si="49"/>
        <v>2018</v>
      </c>
      <c r="AL1029">
        <f t="shared" si="50"/>
        <v>0</v>
      </c>
      <c r="AM1029" t="e" cm="1">
        <f t="array" aca="1" ref="AM1029" ca="1">IF(B1029="Yes",YEAR(TODAY()),BLANK())</f>
        <v>#NAME?</v>
      </c>
      <c r="AN1029" t="str" cm="1">
        <f t="array" ref="AN1029" xml:space="preserve"> _xlfn.IFS(A1029&lt;25,"&lt;25",
A1029&lt;=35,"25-35",
A1029&lt;=45,"36-45",
TRUE,"45+"
)</f>
        <v>25-35</v>
      </c>
      <c r="AO1029" t="str" cm="1">
        <f t="array" ref="AO1029">_xlfn.IFS(S1029&lt;5000,"Low",
S1029&lt;=15000,"Medium",
TRUE,"High")</f>
        <v>Low</v>
      </c>
    </row>
    <row r="1030" spans="1:41" hidden="1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 t="str">
        <f t="shared" si="48"/>
        <v>Active</v>
      </c>
      <c r="AK1030">
        <f t="shared" ca="1" si="49"/>
        <v>2018</v>
      </c>
      <c r="AL1030">
        <f t="shared" si="50"/>
        <v>0</v>
      </c>
      <c r="AM1030" t="e" cm="1">
        <f t="array" aca="1" ref="AM1030" ca="1">IF(B1030="Yes",YEAR(TODAY()),BLANK())</f>
        <v>#NAME?</v>
      </c>
      <c r="AN1030" t="str" cm="1">
        <f t="array" ref="AN1030" xml:space="preserve"> _xlfn.IFS(A1030&lt;25,"&lt;25",
A1030&lt;=35,"25-35",
A1030&lt;=45,"36-45",
TRUE,"45+"
)</f>
        <v>36-45</v>
      </c>
      <c r="AO1030" t="str" cm="1">
        <f t="array" ref="AO1030">_xlfn.IFS(S1030&lt;5000,"Low",
S1030&lt;=15000,"Medium",
TRUE,"High")</f>
        <v>Low</v>
      </c>
    </row>
    <row r="1031" spans="1:41" hidden="1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 t="str">
        <f t="shared" si="48"/>
        <v>Active</v>
      </c>
      <c r="AK1031">
        <f t="shared" ca="1" si="49"/>
        <v>2014</v>
      </c>
      <c r="AL1031">
        <f t="shared" si="50"/>
        <v>0</v>
      </c>
      <c r="AM1031" t="e" cm="1">
        <f t="array" aca="1" ref="AM1031" ca="1">IF(B1031="Yes",YEAR(TODAY()),BLANK())</f>
        <v>#NAME?</v>
      </c>
      <c r="AN1031" t="str" cm="1">
        <f t="array" ref="AN1031" xml:space="preserve"> _xlfn.IFS(A1031&lt;25,"&lt;25",
A1031&lt;=35,"25-35",
A1031&lt;=45,"36-45",
TRUE,"45+"
)</f>
        <v>36-45</v>
      </c>
      <c r="AO1031" t="str" cm="1">
        <f t="array" ref="AO1031">_xlfn.IFS(S1031&lt;5000,"Low",
S1031&lt;=15000,"Medium",
TRUE,"High")</f>
        <v>Low</v>
      </c>
    </row>
    <row r="1032" spans="1:41" hidden="1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 t="str">
        <f t="shared" si="48"/>
        <v>Active</v>
      </c>
      <c r="AK1032">
        <f t="shared" ca="1" si="49"/>
        <v>2012</v>
      </c>
      <c r="AL1032">
        <f t="shared" si="50"/>
        <v>0</v>
      </c>
      <c r="AM1032" t="e" cm="1">
        <f t="array" aca="1" ref="AM1032" ca="1">IF(B1032="Yes",YEAR(TODAY()),BLANK())</f>
        <v>#NAME?</v>
      </c>
      <c r="AN1032" t="str" cm="1">
        <f t="array" ref="AN1032" xml:space="preserve"> _xlfn.IFS(A1032&lt;25,"&lt;25",
A1032&lt;=35,"25-35",
A1032&lt;=45,"36-45",
TRUE,"45+"
)</f>
        <v>25-35</v>
      </c>
      <c r="AO1032" t="str" cm="1">
        <f t="array" ref="AO1032">_xlfn.IFS(S1032&lt;5000,"Low",
S1032&lt;=15000,"Medium",
TRUE,"High")</f>
        <v>Medium</v>
      </c>
    </row>
    <row r="1033" spans="1:41" hidden="1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 t="str">
        <f t="shared" si="48"/>
        <v>Resigned</v>
      </c>
      <c r="AK1033">
        <f t="shared" ca="1" si="49"/>
        <v>1997</v>
      </c>
      <c r="AL1033">
        <f t="shared" si="50"/>
        <v>1</v>
      </c>
      <c r="AM1033" cm="1">
        <f t="array" aca="1" ref="AM1033" ca="1">IF(B1033="Yes",YEAR(TODAY()),BLANK())</f>
        <v>2025</v>
      </c>
      <c r="AN1033" t="str" cm="1">
        <f t="array" ref="AN1033" xml:space="preserve"> _xlfn.IFS(A1033&lt;25,"&lt;25",
A1033&lt;=35,"25-35",
A1033&lt;=45,"36-45",
TRUE,"45+"
)</f>
        <v>45+</v>
      </c>
      <c r="AO1033" t="str" cm="1">
        <f t="array" ref="AO1033">_xlfn.IFS(S1033&lt;5000,"Low",
S1033&lt;=15000,"Medium",
TRUE,"High")</f>
        <v>Medium</v>
      </c>
    </row>
    <row r="1034" spans="1:41" hidden="1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 t="str">
        <f t="shared" si="48"/>
        <v>Resigned</v>
      </c>
      <c r="AK1034">
        <f t="shared" ca="1" si="49"/>
        <v>2014</v>
      </c>
      <c r="AL1034">
        <f t="shared" si="50"/>
        <v>1</v>
      </c>
      <c r="AM1034" cm="1">
        <f t="array" aca="1" ref="AM1034" ca="1">IF(B1034="Yes",YEAR(TODAY()),BLANK())</f>
        <v>2025</v>
      </c>
      <c r="AN1034" t="str" cm="1">
        <f t="array" ref="AN1034" xml:space="preserve"> _xlfn.IFS(A1034&lt;25,"&lt;25",
A1034&lt;=35,"25-35",
A1034&lt;=45,"36-45",
TRUE,"45+"
)</f>
        <v>36-45</v>
      </c>
      <c r="AO1034" t="str" cm="1">
        <f t="array" ref="AO1034">_xlfn.IFS(S1034&lt;5000,"Low",
S1034&lt;=15000,"Medium",
TRUE,"High")</f>
        <v>Low</v>
      </c>
    </row>
    <row r="1035" spans="1:41" hidden="1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 t="str">
        <f t="shared" si="48"/>
        <v>Resigned</v>
      </c>
      <c r="AK1035">
        <f t="shared" ca="1" si="49"/>
        <v>2015</v>
      </c>
      <c r="AL1035">
        <f t="shared" si="50"/>
        <v>1</v>
      </c>
      <c r="AM1035" cm="1">
        <f t="array" aca="1" ref="AM1035" ca="1">IF(B1035="Yes",YEAR(TODAY()),BLANK())</f>
        <v>2025</v>
      </c>
      <c r="AN1035" t="str" cm="1">
        <f t="array" ref="AN1035" xml:space="preserve"> _xlfn.IFS(A1035&lt;25,"&lt;25",
A1035&lt;=35,"25-35",
A1035&lt;=45,"36-45",
TRUE,"45+"
)</f>
        <v>25-35</v>
      </c>
      <c r="AO1035" t="str" cm="1">
        <f t="array" ref="AO1035">_xlfn.IFS(S1035&lt;5000,"Low",
S1035&lt;=15000,"Medium",
TRUE,"High")</f>
        <v>Medium</v>
      </c>
    </row>
    <row r="1036" spans="1:41" hidden="1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 t="str">
        <f t="shared" si="48"/>
        <v>Active</v>
      </c>
      <c r="AK1036">
        <f t="shared" ca="1" si="49"/>
        <v>2001</v>
      </c>
      <c r="AL1036">
        <f t="shared" si="50"/>
        <v>0</v>
      </c>
      <c r="AM1036" t="e" cm="1">
        <f t="array" aca="1" ref="AM1036" ca="1">IF(B1036="Yes",YEAR(TODAY()),BLANK())</f>
        <v>#NAME?</v>
      </c>
      <c r="AN1036" t="str" cm="1">
        <f t="array" ref="AN1036" xml:space="preserve"> _xlfn.IFS(A1036&lt;25,"&lt;25",
A1036&lt;=35,"25-35",
A1036&lt;=45,"36-45",
TRUE,"45+"
)</f>
        <v>36-45</v>
      </c>
      <c r="AO1036" t="str" cm="1">
        <f t="array" ref="AO1036">_xlfn.IFS(S1036&lt;5000,"Low",
S1036&lt;=15000,"Medium",
TRUE,"High")</f>
        <v>Medium</v>
      </c>
    </row>
    <row r="1037" spans="1:41" hidden="1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 t="str">
        <f t="shared" si="48"/>
        <v>Active</v>
      </c>
      <c r="AK1037">
        <f t="shared" ca="1" si="49"/>
        <v>2017</v>
      </c>
      <c r="AL1037">
        <f t="shared" si="50"/>
        <v>0</v>
      </c>
      <c r="AM1037" t="e" cm="1">
        <f t="array" aca="1" ref="AM1037" ca="1">IF(B1037="Yes",YEAR(TODAY()),BLANK())</f>
        <v>#NAME?</v>
      </c>
      <c r="AN1037" t="str" cm="1">
        <f t="array" ref="AN1037" xml:space="preserve"> _xlfn.IFS(A1037&lt;25,"&lt;25",
A1037&lt;=35,"25-35",
A1037&lt;=45,"36-45",
TRUE,"45+"
)</f>
        <v>25-35</v>
      </c>
      <c r="AO1037" t="str" cm="1">
        <f t="array" ref="AO1037">_xlfn.IFS(S1037&lt;5000,"Low",
S1037&lt;=15000,"Medium",
TRUE,"High")</f>
        <v>Low</v>
      </c>
    </row>
    <row r="1038" spans="1:41" hidden="1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 t="str">
        <f t="shared" si="48"/>
        <v>Resigned</v>
      </c>
      <c r="AK1038">
        <f t="shared" ca="1" si="49"/>
        <v>2018</v>
      </c>
      <c r="AL1038">
        <f t="shared" si="50"/>
        <v>1</v>
      </c>
      <c r="AM1038" cm="1">
        <f t="array" aca="1" ref="AM1038" ca="1">IF(B1038="Yes",YEAR(TODAY()),BLANK())</f>
        <v>2025</v>
      </c>
      <c r="AN1038" t="str" cm="1">
        <f t="array" ref="AN1038" xml:space="preserve"> _xlfn.IFS(A1038&lt;25,"&lt;25",
A1038&lt;=35,"25-35",
A1038&lt;=45,"36-45",
TRUE,"45+"
)</f>
        <v>25-35</v>
      </c>
      <c r="AO1038" t="str" cm="1">
        <f t="array" ref="AO1038">_xlfn.IFS(S1038&lt;5000,"Low",
S1038&lt;=15000,"Medium",
TRUE,"High")</f>
        <v>Low</v>
      </c>
    </row>
    <row r="1039" spans="1:41" hidden="1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 t="str">
        <f t="shared" si="48"/>
        <v>Active</v>
      </c>
      <c r="AK1039">
        <f t="shared" ca="1" si="49"/>
        <v>2015</v>
      </c>
      <c r="AL1039">
        <f t="shared" si="50"/>
        <v>0</v>
      </c>
      <c r="AM1039" t="e" cm="1">
        <f t="array" aca="1" ref="AM1039" ca="1">IF(B1039="Yes",YEAR(TODAY()),BLANK())</f>
        <v>#NAME?</v>
      </c>
      <c r="AN1039" t="str" cm="1">
        <f t="array" ref="AN1039" xml:space="preserve"> _xlfn.IFS(A1039&lt;25,"&lt;25",
A1039&lt;=35,"25-35",
A1039&lt;=45,"36-45",
TRUE,"45+"
)</f>
        <v>36-45</v>
      </c>
      <c r="AO1039" t="str" cm="1">
        <f t="array" ref="AO1039">_xlfn.IFS(S1039&lt;5000,"Low",
S1039&lt;=15000,"Medium",
TRUE,"High")</f>
        <v>Medium</v>
      </c>
    </row>
    <row r="1040" spans="1:41" hidden="1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 t="str">
        <f t="shared" si="48"/>
        <v>Active</v>
      </c>
      <c r="AK1040">
        <f t="shared" ca="1" si="49"/>
        <v>2010</v>
      </c>
      <c r="AL1040">
        <f t="shared" si="50"/>
        <v>0</v>
      </c>
      <c r="AM1040" t="e" cm="1">
        <f t="array" aca="1" ref="AM1040" ca="1">IF(B1040="Yes",YEAR(TODAY()),BLANK())</f>
        <v>#NAME?</v>
      </c>
      <c r="AN1040" t="str" cm="1">
        <f t="array" ref="AN1040" xml:space="preserve"> _xlfn.IFS(A1040&lt;25,"&lt;25",
A1040&lt;=35,"25-35",
A1040&lt;=45,"36-45",
TRUE,"45+"
)</f>
        <v>45+</v>
      </c>
      <c r="AO1040" t="str" cm="1">
        <f t="array" ref="AO1040">_xlfn.IFS(S1040&lt;5000,"Low",
S1040&lt;=15000,"Medium",
TRUE,"High")</f>
        <v>Medium</v>
      </c>
    </row>
    <row r="1041" spans="1:41" hidden="1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 t="str">
        <f t="shared" si="48"/>
        <v>Resigned</v>
      </c>
      <c r="AK1041">
        <f t="shared" ca="1" si="49"/>
        <v>2023</v>
      </c>
      <c r="AL1041">
        <f t="shared" si="50"/>
        <v>1</v>
      </c>
      <c r="AM1041" cm="1">
        <f t="array" aca="1" ref="AM1041" ca="1">IF(B1041="Yes",YEAR(TODAY()),BLANK())</f>
        <v>2025</v>
      </c>
      <c r="AN1041" t="str" cm="1">
        <f t="array" ref="AN1041" xml:space="preserve"> _xlfn.IFS(A1041&lt;25,"&lt;25",
A1041&lt;=35,"25-35",
A1041&lt;=45,"36-45",
TRUE,"45+"
)</f>
        <v>25-35</v>
      </c>
      <c r="AO1041" t="str" cm="1">
        <f t="array" ref="AO1041">_xlfn.IFS(S1041&lt;5000,"Low",
S1041&lt;=15000,"Medium",
TRUE,"High")</f>
        <v>Low</v>
      </c>
    </row>
    <row r="1042" spans="1:41" hidden="1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 t="str">
        <f t="shared" si="48"/>
        <v>Active</v>
      </c>
      <c r="AK1042">
        <f t="shared" ca="1" si="49"/>
        <v>2009</v>
      </c>
      <c r="AL1042">
        <f t="shared" si="50"/>
        <v>0</v>
      </c>
      <c r="AM1042" t="e" cm="1">
        <f t="array" aca="1" ref="AM1042" ca="1">IF(B1042="Yes",YEAR(TODAY()),BLANK())</f>
        <v>#NAME?</v>
      </c>
      <c r="AN1042" t="str" cm="1">
        <f t="array" ref="AN1042" xml:space="preserve"> _xlfn.IFS(A1042&lt;25,"&lt;25",
A1042&lt;=35,"25-35",
A1042&lt;=45,"36-45",
TRUE,"45+"
)</f>
        <v>36-45</v>
      </c>
      <c r="AO1042" t="str" cm="1">
        <f t="array" ref="AO1042">_xlfn.IFS(S1042&lt;5000,"Low",
S1042&lt;=15000,"Medium",
TRUE,"High")</f>
        <v>Medium</v>
      </c>
    </row>
    <row r="1043" spans="1:41" hidden="1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 t="str">
        <f t="shared" si="48"/>
        <v>Active</v>
      </c>
      <c r="AK1043">
        <f t="shared" ca="1" si="49"/>
        <v>2019</v>
      </c>
      <c r="AL1043">
        <f t="shared" si="50"/>
        <v>0</v>
      </c>
      <c r="AM1043" t="e" cm="1">
        <f t="array" aca="1" ref="AM1043" ca="1">IF(B1043="Yes",YEAR(TODAY()),BLANK())</f>
        <v>#NAME?</v>
      </c>
      <c r="AN1043" t="str" cm="1">
        <f t="array" ref="AN1043" xml:space="preserve"> _xlfn.IFS(A1043&lt;25,"&lt;25",
A1043&lt;=35,"25-35",
A1043&lt;=45,"36-45",
TRUE,"45+"
)</f>
        <v>25-35</v>
      </c>
      <c r="AO1043" t="str" cm="1">
        <f t="array" ref="AO1043">_xlfn.IFS(S1043&lt;5000,"Low",
S1043&lt;=15000,"Medium",
TRUE,"High")</f>
        <v>Medium</v>
      </c>
    </row>
    <row r="1044" spans="1:41" hidden="1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 t="str">
        <f t="shared" si="48"/>
        <v>Active</v>
      </c>
      <c r="AK1044">
        <f t="shared" ca="1" si="49"/>
        <v>2018</v>
      </c>
      <c r="AL1044">
        <f t="shared" si="50"/>
        <v>0</v>
      </c>
      <c r="AM1044" t="e" cm="1">
        <f t="array" aca="1" ref="AM1044" ca="1">IF(B1044="Yes",YEAR(TODAY()),BLANK())</f>
        <v>#NAME?</v>
      </c>
      <c r="AN1044" t="str" cm="1">
        <f t="array" ref="AN1044" xml:space="preserve"> _xlfn.IFS(A1044&lt;25,"&lt;25",
A1044&lt;=35,"25-35",
A1044&lt;=45,"36-45",
TRUE,"45+"
)</f>
        <v>36-45</v>
      </c>
      <c r="AO1044" t="str" cm="1">
        <f t="array" ref="AO1044">_xlfn.IFS(S1044&lt;5000,"Low",
S1044&lt;=15000,"Medium",
TRUE,"High")</f>
        <v>Low</v>
      </c>
    </row>
    <row r="1045" spans="1:41" hidden="1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 t="str">
        <f t="shared" si="48"/>
        <v>Active</v>
      </c>
      <c r="AK1045">
        <f t="shared" ca="1" si="49"/>
        <v>1990</v>
      </c>
      <c r="AL1045">
        <f t="shared" si="50"/>
        <v>0</v>
      </c>
      <c r="AM1045" t="e" cm="1">
        <f t="array" aca="1" ref="AM1045" ca="1">IF(B1045="Yes",YEAR(TODAY()),BLANK())</f>
        <v>#NAME?</v>
      </c>
      <c r="AN1045" t="str" cm="1">
        <f t="array" ref="AN1045" xml:space="preserve"> _xlfn.IFS(A1045&lt;25,"&lt;25",
A1045&lt;=35,"25-35",
A1045&lt;=45,"36-45",
TRUE,"45+"
)</f>
        <v>45+</v>
      </c>
      <c r="AO1045" t="str" cm="1">
        <f t="array" ref="AO1045">_xlfn.IFS(S1045&lt;5000,"Low",
S1045&lt;=15000,"Medium",
TRUE,"High")</f>
        <v>High</v>
      </c>
    </row>
    <row r="1046" spans="1:41" hidden="1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 t="str">
        <f t="shared" si="48"/>
        <v>Active</v>
      </c>
      <c r="AK1046">
        <f t="shared" ca="1" si="49"/>
        <v>2005</v>
      </c>
      <c r="AL1046">
        <f t="shared" si="50"/>
        <v>0</v>
      </c>
      <c r="AM1046" t="e" cm="1">
        <f t="array" aca="1" ref="AM1046" ca="1">IF(B1046="Yes",YEAR(TODAY()),BLANK())</f>
        <v>#NAME?</v>
      </c>
      <c r="AN1046" t="str" cm="1">
        <f t="array" ref="AN1046" xml:space="preserve"> _xlfn.IFS(A1046&lt;25,"&lt;25",
A1046&lt;=35,"25-35",
A1046&lt;=45,"36-45",
TRUE,"45+"
)</f>
        <v>45+</v>
      </c>
      <c r="AO1046" t="str" cm="1">
        <f t="array" ref="AO1046">_xlfn.IFS(S1046&lt;5000,"Low",
S1046&lt;=15000,"Medium",
TRUE,"High")</f>
        <v>Medium</v>
      </c>
    </row>
    <row r="1047" spans="1:41" hidden="1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 t="str">
        <f t="shared" si="48"/>
        <v>Active</v>
      </c>
      <c r="AK1047">
        <f t="shared" ca="1" si="49"/>
        <v>2017</v>
      </c>
      <c r="AL1047">
        <f t="shared" si="50"/>
        <v>0</v>
      </c>
      <c r="AM1047" t="e" cm="1">
        <f t="array" aca="1" ref="AM1047" ca="1">IF(B1047="Yes",YEAR(TODAY()),BLANK())</f>
        <v>#NAME?</v>
      </c>
      <c r="AN1047" t="str" cm="1">
        <f t="array" ref="AN1047" xml:space="preserve"> _xlfn.IFS(A1047&lt;25,"&lt;25",
A1047&lt;=35,"25-35",
A1047&lt;=45,"36-45",
TRUE,"45+"
)</f>
        <v>36-45</v>
      </c>
      <c r="AO1047" t="str" cm="1">
        <f t="array" ref="AO1047">_xlfn.IFS(S1047&lt;5000,"Low",
S1047&lt;=15000,"Medium",
TRUE,"High")</f>
        <v>Low</v>
      </c>
    </row>
    <row r="1048" spans="1:41" hidden="1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 t="str">
        <f t="shared" si="48"/>
        <v>Active</v>
      </c>
      <c r="AK1048">
        <f t="shared" ca="1" si="49"/>
        <v>2019</v>
      </c>
      <c r="AL1048">
        <f t="shared" si="50"/>
        <v>0</v>
      </c>
      <c r="AM1048" t="e" cm="1">
        <f t="array" aca="1" ref="AM1048" ca="1">IF(B1048="Yes",YEAR(TODAY()),BLANK())</f>
        <v>#NAME?</v>
      </c>
      <c r="AN1048" t="str" cm="1">
        <f t="array" ref="AN1048" xml:space="preserve"> _xlfn.IFS(A1048&lt;25,"&lt;25",
A1048&lt;=35,"25-35",
A1048&lt;=45,"36-45",
TRUE,"45+"
)</f>
        <v>36-45</v>
      </c>
      <c r="AO1048" t="str" cm="1">
        <f t="array" ref="AO1048">_xlfn.IFS(S1048&lt;5000,"Low",
S1048&lt;=15000,"Medium",
TRUE,"High")</f>
        <v>Low</v>
      </c>
    </row>
    <row r="1049" spans="1:41" hidden="1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 t="str">
        <f t="shared" si="48"/>
        <v>Active</v>
      </c>
      <c r="AK1049">
        <f t="shared" ca="1" si="49"/>
        <v>2020</v>
      </c>
      <c r="AL1049">
        <f t="shared" si="50"/>
        <v>0</v>
      </c>
      <c r="AM1049" t="e" cm="1">
        <f t="array" aca="1" ref="AM1049" ca="1">IF(B1049="Yes",YEAR(TODAY()),BLANK())</f>
        <v>#NAME?</v>
      </c>
      <c r="AN1049" t="str" cm="1">
        <f t="array" ref="AN1049" xml:space="preserve"> _xlfn.IFS(A1049&lt;25,"&lt;25",
A1049&lt;=35,"25-35",
A1049&lt;=45,"36-45",
TRUE,"45+"
)</f>
        <v>25-35</v>
      </c>
      <c r="AO1049" t="str" cm="1">
        <f t="array" ref="AO1049">_xlfn.IFS(S1049&lt;5000,"Low",
S1049&lt;=15000,"Medium",
TRUE,"High")</f>
        <v>Low</v>
      </c>
    </row>
    <row r="1050" spans="1:41" hidden="1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 t="str">
        <f t="shared" si="48"/>
        <v>Active</v>
      </c>
      <c r="AK1050">
        <f t="shared" ca="1" si="49"/>
        <v>2010</v>
      </c>
      <c r="AL1050">
        <f t="shared" si="50"/>
        <v>0</v>
      </c>
      <c r="AM1050" t="e" cm="1">
        <f t="array" aca="1" ref="AM1050" ca="1">IF(B1050="Yes",YEAR(TODAY()),BLANK())</f>
        <v>#NAME?</v>
      </c>
      <c r="AN1050" t="str" cm="1">
        <f t="array" ref="AN1050" xml:space="preserve"> _xlfn.IFS(A1050&lt;25,"&lt;25",
A1050&lt;=35,"25-35",
A1050&lt;=45,"36-45",
TRUE,"45+"
)</f>
        <v>25-35</v>
      </c>
      <c r="AO1050" t="str" cm="1">
        <f t="array" ref="AO1050">_xlfn.IFS(S1050&lt;5000,"Low",
S1050&lt;=15000,"Medium",
TRUE,"High")</f>
        <v>Low</v>
      </c>
    </row>
    <row r="1051" spans="1:41" hidden="1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 t="str">
        <f t="shared" si="48"/>
        <v>Active</v>
      </c>
      <c r="AK1051">
        <f t="shared" ca="1" si="49"/>
        <v>2021</v>
      </c>
      <c r="AL1051">
        <f t="shared" si="50"/>
        <v>0</v>
      </c>
      <c r="AM1051" t="e" cm="1">
        <f t="array" aca="1" ref="AM1051" ca="1">IF(B1051="Yes",YEAR(TODAY()),BLANK())</f>
        <v>#NAME?</v>
      </c>
      <c r="AN1051" t="str" cm="1">
        <f t="array" ref="AN1051" xml:space="preserve"> _xlfn.IFS(A1051&lt;25,"&lt;25",
A1051&lt;=35,"25-35",
A1051&lt;=45,"36-45",
TRUE,"45+"
)</f>
        <v>25-35</v>
      </c>
      <c r="AO1051" t="str" cm="1">
        <f t="array" ref="AO1051">_xlfn.IFS(S1051&lt;5000,"Low",
S1051&lt;=15000,"Medium",
TRUE,"High")</f>
        <v>Medium</v>
      </c>
    </row>
    <row r="1052" spans="1:41" hidden="1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 t="str">
        <f t="shared" si="48"/>
        <v>Active</v>
      </c>
      <c r="AK1052">
        <f t="shared" ca="1" si="49"/>
        <v>2013</v>
      </c>
      <c r="AL1052">
        <f t="shared" si="50"/>
        <v>0</v>
      </c>
      <c r="AM1052" t="e" cm="1">
        <f t="array" aca="1" ref="AM1052" ca="1">IF(B1052="Yes",YEAR(TODAY()),BLANK())</f>
        <v>#NAME?</v>
      </c>
      <c r="AN1052" t="str" cm="1">
        <f t="array" ref="AN1052" xml:space="preserve"> _xlfn.IFS(A1052&lt;25,"&lt;25",
A1052&lt;=35,"25-35",
A1052&lt;=45,"36-45",
TRUE,"45+"
)</f>
        <v>36-45</v>
      </c>
      <c r="AO1052" t="str" cm="1">
        <f t="array" ref="AO1052">_xlfn.IFS(S1052&lt;5000,"Low",
S1052&lt;=15000,"Medium",
TRUE,"High")</f>
        <v>Low</v>
      </c>
    </row>
    <row r="1053" spans="1:41" hidden="1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 t="str">
        <f t="shared" si="48"/>
        <v>Active</v>
      </c>
      <c r="AK1053">
        <f t="shared" ca="1" si="49"/>
        <v>2014</v>
      </c>
      <c r="AL1053">
        <f t="shared" si="50"/>
        <v>0</v>
      </c>
      <c r="AM1053" t="e" cm="1">
        <f t="array" aca="1" ref="AM1053" ca="1">IF(B1053="Yes",YEAR(TODAY()),BLANK())</f>
        <v>#NAME?</v>
      </c>
      <c r="AN1053" t="str" cm="1">
        <f t="array" ref="AN1053" xml:space="preserve"> _xlfn.IFS(A1053&lt;25,"&lt;25",
A1053&lt;=35,"25-35",
A1053&lt;=45,"36-45",
TRUE,"45+"
)</f>
        <v>36-45</v>
      </c>
      <c r="AO1053" t="str" cm="1">
        <f t="array" ref="AO1053">_xlfn.IFS(S1053&lt;5000,"Low",
S1053&lt;=15000,"Medium",
TRUE,"High")</f>
        <v>Low</v>
      </c>
    </row>
    <row r="1054" spans="1:41" hidden="1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 t="str">
        <f t="shared" si="48"/>
        <v>Active</v>
      </c>
      <c r="AK1054">
        <f t="shared" ca="1" si="49"/>
        <v>2024</v>
      </c>
      <c r="AL1054">
        <f t="shared" si="50"/>
        <v>0</v>
      </c>
      <c r="AM1054" t="e" cm="1">
        <f t="array" aca="1" ref="AM1054" ca="1">IF(B1054="Yes",YEAR(TODAY()),BLANK())</f>
        <v>#NAME?</v>
      </c>
      <c r="AN1054" t="str" cm="1">
        <f t="array" ref="AN1054" xml:space="preserve"> _xlfn.IFS(A1054&lt;25,"&lt;25",
A1054&lt;=35,"25-35",
A1054&lt;=45,"36-45",
TRUE,"45+"
)</f>
        <v>25-35</v>
      </c>
      <c r="AO1054" t="str" cm="1">
        <f t="array" ref="AO1054">_xlfn.IFS(S1054&lt;5000,"Low",
S1054&lt;=15000,"Medium",
TRUE,"High")</f>
        <v>Low</v>
      </c>
    </row>
    <row r="1055" spans="1:41" hidden="1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 t="str">
        <f t="shared" si="48"/>
        <v>Active</v>
      </c>
      <c r="AK1055">
        <f t="shared" ca="1" si="49"/>
        <v>2012</v>
      </c>
      <c r="AL1055">
        <f t="shared" si="50"/>
        <v>0</v>
      </c>
      <c r="AM1055" t="e" cm="1">
        <f t="array" aca="1" ref="AM1055" ca="1">IF(B1055="Yes",YEAR(TODAY()),BLANK())</f>
        <v>#NAME?</v>
      </c>
      <c r="AN1055" t="str" cm="1">
        <f t="array" ref="AN1055" xml:space="preserve"> _xlfn.IFS(A1055&lt;25,"&lt;25",
A1055&lt;=35,"25-35",
A1055&lt;=45,"36-45",
TRUE,"45+"
)</f>
        <v>45+</v>
      </c>
      <c r="AO1055" t="str" cm="1">
        <f t="array" ref="AO1055">_xlfn.IFS(S1055&lt;5000,"Low",
S1055&lt;=15000,"Medium",
TRUE,"High")</f>
        <v>Low</v>
      </c>
    </row>
    <row r="1056" spans="1:41" hidden="1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 t="str">
        <f t="shared" si="48"/>
        <v>Active</v>
      </c>
      <c r="AK1056">
        <f t="shared" ca="1" si="49"/>
        <v>1996</v>
      </c>
      <c r="AL1056">
        <f t="shared" si="50"/>
        <v>0</v>
      </c>
      <c r="AM1056" t="e" cm="1">
        <f t="array" aca="1" ref="AM1056" ca="1">IF(B1056="Yes",YEAR(TODAY()),BLANK())</f>
        <v>#NAME?</v>
      </c>
      <c r="AN1056" t="str" cm="1">
        <f t="array" ref="AN1056" xml:space="preserve"> _xlfn.IFS(A1056&lt;25,"&lt;25",
A1056&lt;=35,"25-35",
A1056&lt;=45,"36-45",
TRUE,"45+"
)</f>
        <v>45+</v>
      </c>
      <c r="AO1056" t="str" cm="1">
        <f t="array" ref="AO1056">_xlfn.IFS(S1056&lt;5000,"Low",
S1056&lt;=15000,"Medium",
TRUE,"High")</f>
        <v>Medium</v>
      </c>
    </row>
    <row r="1057" spans="1:41" hidden="1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 t="str">
        <f t="shared" si="48"/>
        <v>Active</v>
      </c>
      <c r="AK1057">
        <f t="shared" ca="1" si="49"/>
        <v>2009</v>
      </c>
      <c r="AL1057">
        <f t="shared" si="50"/>
        <v>0</v>
      </c>
      <c r="AM1057" t="e" cm="1">
        <f t="array" aca="1" ref="AM1057" ca="1">IF(B1057="Yes",YEAR(TODAY()),BLANK())</f>
        <v>#NAME?</v>
      </c>
      <c r="AN1057" t="str" cm="1">
        <f t="array" ref="AN1057" xml:space="preserve"> _xlfn.IFS(A1057&lt;25,"&lt;25",
A1057&lt;=35,"25-35",
A1057&lt;=45,"36-45",
TRUE,"45+"
)</f>
        <v>25-35</v>
      </c>
      <c r="AO1057" t="str" cm="1">
        <f t="array" ref="AO1057">_xlfn.IFS(S1057&lt;5000,"Low",
S1057&lt;=15000,"Medium",
TRUE,"High")</f>
        <v>High</v>
      </c>
    </row>
    <row r="1058" spans="1:41" hidden="1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 t="str">
        <f t="shared" si="48"/>
        <v>Resigned</v>
      </c>
      <c r="AK1058">
        <f t="shared" ca="1" si="49"/>
        <v>2020</v>
      </c>
      <c r="AL1058">
        <f t="shared" si="50"/>
        <v>1</v>
      </c>
      <c r="AM1058" cm="1">
        <f t="array" aca="1" ref="AM1058" ca="1">IF(B1058="Yes",YEAR(TODAY()),BLANK())</f>
        <v>2025</v>
      </c>
      <c r="AN1058" t="str" cm="1">
        <f t="array" ref="AN1058" xml:space="preserve"> _xlfn.IFS(A1058&lt;25,"&lt;25",
A1058&lt;=35,"25-35",
A1058&lt;=45,"36-45",
TRUE,"45+"
)</f>
        <v>25-35</v>
      </c>
      <c r="AO1058" t="str" cm="1">
        <f t="array" ref="AO1058">_xlfn.IFS(S1058&lt;5000,"Low",
S1058&lt;=15000,"Medium",
TRUE,"High")</f>
        <v>Low</v>
      </c>
    </row>
    <row r="1059" spans="1:41" hidden="1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 t="str">
        <f t="shared" si="48"/>
        <v>Resigned</v>
      </c>
      <c r="AK1059">
        <f t="shared" ca="1" si="49"/>
        <v>2018</v>
      </c>
      <c r="AL1059">
        <f t="shared" si="50"/>
        <v>1</v>
      </c>
      <c r="AM1059" cm="1">
        <f t="array" aca="1" ref="AM1059" ca="1">IF(B1059="Yes",YEAR(TODAY()),BLANK())</f>
        <v>2025</v>
      </c>
      <c r="AN1059" t="str" cm="1">
        <f t="array" ref="AN1059" xml:space="preserve"> _xlfn.IFS(A1059&lt;25,"&lt;25",
A1059&lt;=35,"25-35",
A1059&lt;=45,"36-45",
TRUE,"45+"
)</f>
        <v>25-35</v>
      </c>
      <c r="AO1059" t="str" cm="1">
        <f t="array" ref="AO1059">_xlfn.IFS(S1059&lt;5000,"Low",
S1059&lt;=15000,"Medium",
TRUE,"High")</f>
        <v>Medium</v>
      </c>
    </row>
    <row r="1060" spans="1:41" hidden="1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 t="str">
        <f t="shared" si="48"/>
        <v>Resigned</v>
      </c>
      <c r="AK1060">
        <f t="shared" ca="1" si="49"/>
        <v>2009</v>
      </c>
      <c r="AL1060">
        <f t="shared" si="50"/>
        <v>1</v>
      </c>
      <c r="AM1060" cm="1">
        <f t="array" aca="1" ref="AM1060" ca="1">IF(B1060="Yes",YEAR(TODAY()),BLANK())</f>
        <v>2025</v>
      </c>
      <c r="AN1060" t="str" cm="1">
        <f t="array" ref="AN1060" xml:space="preserve"> _xlfn.IFS(A1060&lt;25,"&lt;25",
A1060&lt;=35,"25-35",
A1060&lt;=45,"36-45",
TRUE,"45+"
)</f>
        <v>25-35</v>
      </c>
      <c r="AO1060" t="str" cm="1">
        <f t="array" ref="AO1060">_xlfn.IFS(S1060&lt;5000,"Low",
S1060&lt;=15000,"Medium",
TRUE,"High")</f>
        <v>Low</v>
      </c>
    </row>
    <row r="1061" spans="1:41" hidden="1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 t="str">
        <f t="shared" si="48"/>
        <v>Active</v>
      </c>
      <c r="AK1061">
        <f t="shared" ca="1" si="49"/>
        <v>2024</v>
      </c>
      <c r="AL1061">
        <f t="shared" si="50"/>
        <v>0</v>
      </c>
      <c r="AM1061" t="e" cm="1">
        <f t="array" aca="1" ref="AM1061" ca="1">IF(B1061="Yes",YEAR(TODAY()),BLANK())</f>
        <v>#NAME?</v>
      </c>
      <c r="AN1061" t="str" cm="1">
        <f t="array" ref="AN1061" xml:space="preserve"> _xlfn.IFS(A1061&lt;25,"&lt;25",
A1061&lt;=35,"25-35",
A1061&lt;=45,"36-45",
TRUE,"45+"
)</f>
        <v>25-35</v>
      </c>
      <c r="AO1061" t="str" cm="1">
        <f t="array" ref="AO1061">_xlfn.IFS(S1061&lt;5000,"Low",
S1061&lt;=15000,"Medium",
TRUE,"High")</f>
        <v>Low</v>
      </c>
    </row>
    <row r="1062" spans="1:41" hidden="1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 t="str">
        <f t="shared" si="48"/>
        <v>Resigned</v>
      </c>
      <c r="AK1062">
        <f t="shared" ca="1" si="49"/>
        <v>2021</v>
      </c>
      <c r="AL1062">
        <f t="shared" si="50"/>
        <v>1</v>
      </c>
      <c r="AM1062" cm="1">
        <f t="array" aca="1" ref="AM1062" ca="1">IF(B1062="Yes",YEAR(TODAY()),BLANK())</f>
        <v>2025</v>
      </c>
      <c r="AN1062" t="str" cm="1">
        <f t="array" ref="AN1062" xml:space="preserve"> _xlfn.IFS(A1062&lt;25,"&lt;25",
A1062&lt;=35,"25-35",
A1062&lt;=45,"36-45",
TRUE,"45+"
)</f>
        <v>&lt;25</v>
      </c>
      <c r="AO1062" t="str" cm="1">
        <f t="array" ref="AO1062">_xlfn.IFS(S1062&lt;5000,"Low",
S1062&lt;=15000,"Medium",
TRUE,"High")</f>
        <v>Low</v>
      </c>
    </row>
    <row r="1063" spans="1:41" hidden="1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 t="str">
        <f t="shared" si="48"/>
        <v>Active</v>
      </c>
      <c r="AK1063">
        <f t="shared" ca="1" si="49"/>
        <v>2024</v>
      </c>
      <c r="AL1063">
        <f t="shared" si="50"/>
        <v>0</v>
      </c>
      <c r="AM1063" t="e" cm="1">
        <f t="array" aca="1" ref="AM1063" ca="1">IF(B1063="Yes",YEAR(TODAY()),BLANK())</f>
        <v>#NAME?</v>
      </c>
      <c r="AN1063" t="str" cm="1">
        <f t="array" ref="AN1063" xml:space="preserve"> _xlfn.IFS(A1063&lt;25,"&lt;25",
A1063&lt;=35,"25-35",
A1063&lt;=45,"36-45",
TRUE,"45+"
)</f>
        <v>&lt;25</v>
      </c>
      <c r="AO1063" t="str" cm="1">
        <f t="array" ref="AO1063">_xlfn.IFS(S1063&lt;5000,"Low",
S1063&lt;=15000,"Medium",
TRUE,"High")</f>
        <v>Low</v>
      </c>
    </row>
    <row r="1064" spans="1:41" hidden="1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 t="str">
        <f t="shared" si="48"/>
        <v>Active</v>
      </c>
      <c r="AK1064">
        <f t="shared" ca="1" si="49"/>
        <v>2009</v>
      </c>
      <c r="AL1064">
        <f t="shared" si="50"/>
        <v>0</v>
      </c>
      <c r="AM1064" t="e" cm="1">
        <f t="array" aca="1" ref="AM1064" ca="1">IF(B1064="Yes",YEAR(TODAY()),BLANK())</f>
        <v>#NAME?</v>
      </c>
      <c r="AN1064" t="str" cm="1">
        <f t="array" ref="AN1064" xml:space="preserve"> _xlfn.IFS(A1064&lt;25,"&lt;25",
A1064&lt;=35,"25-35",
A1064&lt;=45,"36-45",
TRUE,"45+"
)</f>
        <v>36-45</v>
      </c>
      <c r="AO1064" t="str" cm="1">
        <f t="array" ref="AO1064">_xlfn.IFS(S1064&lt;5000,"Low",
S1064&lt;=15000,"Medium",
TRUE,"High")</f>
        <v>Medium</v>
      </c>
    </row>
    <row r="1065" spans="1:41" hidden="1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 t="str">
        <f t="shared" si="48"/>
        <v>Active</v>
      </c>
      <c r="AK1065">
        <f t="shared" ca="1" si="49"/>
        <v>2015</v>
      </c>
      <c r="AL1065">
        <f t="shared" si="50"/>
        <v>0</v>
      </c>
      <c r="AM1065" t="e" cm="1">
        <f t="array" aca="1" ref="AM1065" ca="1">IF(B1065="Yes",YEAR(TODAY()),BLANK())</f>
        <v>#NAME?</v>
      </c>
      <c r="AN1065" t="str" cm="1">
        <f t="array" ref="AN1065" xml:space="preserve"> _xlfn.IFS(A1065&lt;25,"&lt;25",
A1065&lt;=35,"25-35",
A1065&lt;=45,"36-45",
TRUE,"45+"
)</f>
        <v>25-35</v>
      </c>
      <c r="AO1065" t="str" cm="1">
        <f t="array" ref="AO1065">_xlfn.IFS(S1065&lt;5000,"Low",
S1065&lt;=15000,"Medium",
TRUE,"High")</f>
        <v>Medium</v>
      </c>
    </row>
    <row r="1066" spans="1:41" hidden="1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 t="str">
        <f t="shared" si="48"/>
        <v>Active</v>
      </c>
      <c r="AK1066">
        <f t="shared" ca="1" si="49"/>
        <v>2019</v>
      </c>
      <c r="AL1066">
        <f t="shared" si="50"/>
        <v>0</v>
      </c>
      <c r="AM1066" t="e" cm="1">
        <f t="array" aca="1" ref="AM1066" ca="1">IF(B1066="Yes",YEAR(TODAY()),BLANK())</f>
        <v>#NAME?</v>
      </c>
      <c r="AN1066" t="str" cm="1">
        <f t="array" ref="AN1066" xml:space="preserve"> _xlfn.IFS(A1066&lt;25,"&lt;25",
A1066&lt;=35,"25-35",
A1066&lt;=45,"36-45",
TRUE,"45+"
)</f>
        <v>25-35</v>
      </c>
      <c r="AO1066" t="str" cm="1">
        <f t="array" ref="AO1066">_xlfn.IFS(S1066&lt;5000,"Low",
S1066&lt;=15000,"Medium",
TRUE,"High")</f>
        <v>Low</v>
      </c>
    </row>
    <row r="1067" spans="1:41" hidden="1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 t="str">
        <f t="shared" si="48"/>
        <v>Active</v>
      </c>
      <c r="AK1067">
        <f t="shared" ca="1" si="49"/>
        <v>2021</v>
      </c>
      <c r="AL1067">
        <f t="shared" si="50"/>
        <v>0</v>
      </c>
      <c r="AM1067" t="e" cm="1">
        <f t="array" aca="1" ref="AM1067" ca="1">IF(B1067="Yes",YEAR(TODAY()),BLANK())</f>
        <v>#NAME?</v>
      </c>
      <c r="AN1067" t="str" cm="1">
        <f t="array" ref="AN1067" xml:space="preserve"> _xlfn.IFS(A1067&lt;25,"&lt;25",
A1067&lt;=35,"25-35",
A1067&lt;=45,"36-45",
TRUE,"45+"
)</f>
        <v>45+</v>
      </c>
      <c r="AO1067" t="str" cm="1">
        <f t="array" ref="AO1067">_xlfn.IFS(S1067&lt;5000,"Low",
S1067&lt;=15000,"Medium",
TRUE,"High")</f>
        <v>Low</v>
      </c>
    </row>
    <row r="1068" spans="1:41" hidden="1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 t="str">
        <f t="shared" si="48"/>
        <v>Active</v>
      </c>
      <c r="AK1068">
        <f t="shared" ca="1" si="49"/>
        <v>2017</v>
      </c>
      <c r="AL1068">
        <f t="shared" si="50"/>
        <v>0</v>
      </c>
      <c r="AM1068" t="e" cm="1">
        <f t="array" aca="1" ref="AM1068" ca="1">IF(B1068="Yes",YEAR(TODAY()),BLANK())</f>
        <v>#NAME?</v>
      </c>
      <c r="AN1068" t="str" cm="1">
        <f t="array" ref="AN1068" xml:space="preserve"> _xlfn.IFS(A1068&lt;25,"&lt;25",
A1068&lt;=35,"25-35",
A1068&lt;=45,"36-45",
TRUE,"45+"
)</f>
        <v>25-35</v>
      </c>
      <c r="AO1068" t="str" cm="1">
        <f t="array" ref="AO1068">_xlfn.IFS(S1068&lt;5000,"Low",
S1068&lt;=15000,"Medium",
TRUE,"High")</f>
        <v>Low</v>
      </c>
    </row>
    <row r="1069" spans="1:41" hidden="1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 t="str">
        <f t="shared" si="48"/>
        <v>Active</v>
      </c>
      <c r="AK1069">
        <f t="shared" ca="1" si="49"/>
        <v>2014</v>
      </c>
      <c r="AL1069">
        <f t="shared" si="50"/>
        <v>0</v>
      </c>
      <c r="AM1069" t="e" cm="1">
        <f t="array" aca="1" ref="AM1069" ca="1">IF(B1069="Yes",YEAR(TODAY()),BLANK())</f>
        <v>#NAME?</v>
      </c>
      <c r="AN1069" t="str" cm="1">
        <f t="array" ref="AN1069" xml:space="preserve"> _xlfn.IFS(A1069&lt;25,"&lt;25",
A1069&lt;=35,"25-35",
A1069&lt;=45,"36-45",
TRUE,"45+"
)</f>
        <v>45+</v>
      </c>
      <c r="AO1069" t="str" cm="1">
        <f t="array" ref="AO1069">_xlfn.IFS(S1069&lt;5000,"Low",
S1069&lt;=15000,"Medium",
TRUE,"High")</f>
        <v>Low</v>
      </c>
    </row>
    <row r="1070" spans="1:41" hidden="1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 t="str">
        <f t="shared" si="48"/>
        <v>Resigned</v>
      </c>
      <c r="AK1070">
        <f t="shared" ca="1" si="49"/>
        <v>2017</v>
      </c>
      <c r="AL1070">
        <f t="shared" si="50"/>
        <v>1</v>
      </c>
      <c r="AM1070" cm="1">
        <f t="array" aca="1" ref="AM1070" ca="1">IF(B1070="Yes",YEAR(TODAY()),BLANK())</f>
        <v>2025</v>
      </c>
      <c r="AN1070" t="str" cm="1">
        <f t="array" ref="AN1070" xml:space="preserve"> _xlfn.IFS(A1070&lt;25,"&lt;25",
A1070&lt;=35,"25-35",
A1070&lt;=45,"36-45",
TRUE,"45+"
)</f>
        <v>25-35</v>
      </c>
      <c r="AO1070" t="str" cm="1">
        <f t="array" ref="AO1070">_xlfn.IFS(S1070&lt;5000,"Low",
S1070&lt;=15000,"Medium",
TRUE,"High")</f>
        <v>Low</v>
      </c>
    </row>
    <row r="1071" spans="1:41" hidden="1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 t="str">
        <f t="shared" si="48"/>
        <v>Active</v>
      </c>
      <c r="AK1071">
        <f t="shared" ca="1" si="49"/>
        <v>2024</v>
      </c>
      <c r="AL1071">
        <f t="shared" si="50"/>
        <v>0</v>
      </c>
      <c r="AM1071" t="e" cm="1">
        <f t="array" aca="1" ref="AM1071" ca="1">IF(B1071="Yes",YEAR(TODAY()),BLANK())</f>
        <v>#NAME?</v>
      </c>
      <c r="AN1071" t="str" cm="1">
        <f t="array" ref="AN1071" xml:space="preserve"> _xlfn.IFS(A1071&lt;25,"&lt;25",
A1071&lt;=35,"25-35",
A1071&lt;=45,"36-45",
TRUE,"45+"
)</f>
        <v>25-35</v>
      </c>
      <c r="AO1071" t="str" cm="1">
        <f t="array" ref="AO1071">_xlfn.IFS(S1071&lt;5000,"Low",
S1071&lt;=15000,"Medium",
TRUE,"High")</f>
        <v>Low</v>
      </c>
    </row>
    <row r="1072" spans="1:41" hidden="1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 t="str">
        <f t="shared" si="48"/>
        <v>Active</v>
      </c>
      <c r="AK1072">
        <f t="shared" ca="1" si="49"/>
        <v>2020</v>
      </c>
      <c r="AL1072">
        <f t="shared" si="50"/>
        <v>0</v>
      </c>
      <c r="AM1072" t="e" cm="1">
        <f t="array" aca="1" ref="AM1072" ca="1">IF(B1072="Yes",YEAR(TODAY()),BLANK())</f>
        <v>#NAME?</v>
      </c>
      <c r="AN1072" t="str" cm="1">
        <f t="array" ref="AN1072" xml:space="preserve"> _xlfn.IFS(A1072&lt;25,"&lt;25",
A1072&lt;=35,"25-35",
A1072&lt;=45,"36-45",
TRUE,"45+"
)</f>
        <v>25-35</v>
      </c>
      <c r="AO1072" t="str" cm="1">
        <f t="array" ref="AO1072">_xlfn.IFS(S1072&lt;5000,"Low",
S1072&lt;=15000,"Medium",
TRUE,"High")</f>
        <v>Low</v>
      </c>
    </row>
    <row r="1073" spans="1:41" hidden="1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 t="str">
        <f t="shared" si="48"/>
        <v>Active</v>
      </c>
      <c r="AK1073">
        <f t="shared" ca="1" si="49"/>
        <v>2015</v>
      </c>
      <c r="AL1073">
        <f t="shared" si="50"/>
        <v>0</v>
      </c>
      <c r="AM1073" t="e" cm="1">
        <f t="array" aca="1" ref="AM1073" ca="1">IF(B1073="Yes",YEAR(TODAY()),BLANK())</f>
        <v>#NAME?</v>
      </c>
      <c r="AN1073" t="str" cm="1">
        <f t="array" ref="AN1073" xml:space="preserve"> _xlfn.IFS(A1073&lt;25,"&lt;25",
A1073&lt;=35,"25-35",
A1073&lt;=45,"36-45",
TRUE,"45+"
)</f>
        <v>45+</v>
      </c>
      <c r="AO1073" t="str" cm="1">
        <f t="array" ref="AO1073">_xlfn.IFS(S1073&lt;5000,"Low",
S1073&lt;=15000,"Medium",
TRUE,"High")</f>
        <v>Low</v>
      </c>
    </row>
    <row r="1074" spans="1:41" hidden="1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 t="str">
        <f t="shared" si="48"/>
        <v>Active</v>
      </c>
      <c r="AK1074">
        <f t="shared" ca="1" si="49"/>
        <v>2021</v>
      </c>
      <c r="AL1074">
        <f t="shared" si="50"/>
        <v>0</v>
      </c>
      <c r="AM1074" t="e" cm="1">
        <f t="array" aca="1" ref="AM1074" ca="1">IF(B1074="Yes",YEAR(TODAY()),BLANK())</f>
        <v>#NAME?</v>
      </c>
      <c r="AN1074" t="str" cm="1">
        <f t="array" ref="AN1074" xml:space="preserve"> _xlfn.IFS(A1074&lt;25,"&lt;25",
A1074&lt;=35,"25-35",
A1074&lt;=45,"36-45",
TRUE,"45+"
)</f>
        <v>25-35</v>
      </c>
      <c r="AO1074" t="str" cm="1">
        <f t="array" ref="AO1074">_xlfn.IFS(S1074&lt;5000,"Low",
S1074&lt;=15000,"Medium",
TRUE,"High")</f>
        <v>Low</v>
      </c>
    </row>
    <row r="1075" spans="1:41" hidden="1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 t="str">
        <f t="shared" si="48"/>
        <v>Active</v>
      </c>
      <c r="AK1075">
        <f t="shared" ca="1" si="49"/>
        <v>2017</v>
      </c>
      <c r="AL1075">
        <f t="shared" si="50"/>
        <v>0</v>
      </c>
      <c r="AM1075" t="e" cm="1">
        <f t="array" aca="1" ref="AM1075" ca="1">IF(B1075="Yes",YEAR(TODAY()),BLANK())</f>
        <v>#NAME?</v>
      </c>
      <c r="AN1075" t="str" cm="1">
        <f t="array" ref="AN1075" xml:space="preserve"> _xlfn.IFS(A1075&lt;25,"&lt;25",
A1075&lt;=35,"25-35",
A1075&lt;=45,"36-45",
TRUE,"45+"
)</f>
        <v>25-35</v>
      </c>
      <c r="AO1075" t="str" cm="1">
        <f t="array" ref="AO1075">_xlfn.IFS(S1075&lt;5000,"Low",
S1075&lt;=15000,"Medium",
TRUE,"High")</f>
        <v>Medium</v>
      </c>
    </row>
    <row r="1076" spans="1:41" hidden="1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 t="str">
        <f t="shared" si="48"/>
        <v>Active</v>
      </c>
      <c r="AK1076">
        <f t="shared" ca="1" si="49"/>
        <v>2011</v>
      </c>
      <c r="AL1076">
        <f t="shared" si="50"/>
        <v>0</v>
      </c>
      <c r="AM1076" t="e" cm="1">
        <f t="array" aca="1" ref="AM1076" ca="1">IF(B1076="Yes",YEAR(TODAY()),BLANK())</f>
        <v>#NAME?</v>
      </c>
      <c r="AN1076" t="str" cm="1">
        <f t="array" ref="AN1076" xml:space="preserve"> _xlfn.IFS(A1076&lt;25,"&lt;25",
A1076&lt;=35,"25-35",
A1076&lt;=45,"36-45",
TRUE,"45+"
)</f>
        <v>25-35</v>
      </c>
      <c r="AO1076" t="str" cm="1">
        <f t="array" ref="AO1076">_xlfn.IFS(S1076&lt;5000,"Low",
S1076&lt;=15000,"Medium",
TRUE,"High")</f>
        <v>Medium</v>
      </c>
    </row>
    <row r="1077" spans="1:41" hidden="1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 t="str">
        <f t="shared" si="48"/>
        <v>Active</v>
      </c>
      <c r="AK1077">
        <f t="shared" ca="1" si="49"/>
        <v>2015</v>
      </c>
      <c r="AL1077">
        <f t="shared" si="50"/>
        <v>0</v>
      </c>
      <c r="AM1077" t="e" cm="1">
        <f t="array" aca="1" ref="AM1077" ca="1">IF(B1077="Yes",YEAR(TODAY()),BLANK())</f>
        <v>#NAME?</v>
      </c>
      <c r="AN1077" t="str" cm="1">
        <f t="array" ref="AN1077" xml:space="preserve"> _xlfn.IFS(A1077&lt;25,"&lt;25",
A1077&lt;=35,"25-35",
A1077&lt;=45,"36-45",
TRUE,"45+"
)</f>
        <v>25-35</v>
      </c>
      <c r="AO1077" t="str" cm="1">
        <f t="array" ref="AO1077">_xlfn.IFS(S1077&lt;5000,"Low",
S1077&lt;=15000,"Medium",
TRUE,"High")</f>
        <v>Medium</v>
      </c>
    </row>
    <row r="1078" spans="1:41" hidden="1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 t="str">
        <f t="shared" si="48"/>
        <v>Active</v>
      </c>
      <c r="AK1078">
        <f t="shared" ca="1" si="49"/>
        <v>1999</v>
      </c>
      <c r="AL1078">
        <f t="shared" si="50"/>
        <v>0</v>
      </c>
      <c r="AM1078" t="e" cm="1">
        <f t="array" aca="1" ref="AM1078" ca="1">IF(B1078="Yes",YEAR(TODAY()),BLANK())</f>
        <v>#NAME?</v>
      </c>
      <c r="AN1078" t="str" cm="1">
        <f t="array" ref="AN1078" xml:space="preserve"> _xlfn.IFS(A1078&lt;25,"&lt;25",
A1078&lt;=35,"25-35",
A1078&lt;=45,"36-45",
TRUE,"45+"
)</f>
        <v>45+</v>
      </c>
      <c r="AO1078" t="str" cm="1">
        <f t="array" ref="AO1078">_xlfn.IFS(S1078&lt;5000,"Low",
S1078&lt;=15000,"Medium",
TRUE,"High")</f>
        <v>High</v>
      </c>
    </row>
    <row r="1079" spans="1:41" hidden="1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 t="str">
        <f t="shared" si="48"/>
        <v>Resigned</v>
      </c>
      <c r="AK1079">
        <f t="shared" ca="1" si="49"/>
        <v>2014</v>
      </c>
      <c r="AL1079">
        <f t="shared" si="50"/>
        <v>1</v>
      </c>
      <c r="AM1079" cm="1">
        <f t="array" aca="1" ref="AM1079" ca="1">IF(B1079="Yes",YEAR(TODAY()),BLANK())</f>
        <v>2025</v>
      </c>
      <c r="AN1079" t="str" cm="1">
        <f t="array" ref="AN1079" xml:space="preserve"> _xlfn.IFS(A1079&lt;25,"&lt;25",
A1079&lt;=35,"25-35",
A1079&lt;=45,"36-45",
TRUE,"45+"
)</f>
        <v>25-35</v>
      </c>
      <c r="AO1079" t="str" cm="1">
        <f t="array" ref="AO1079">_xlfn.IFS(S1079&lt;5000,"Low",
S1079&lt;=15000,"Medium",
TRUE,"High")</f>
        <v>Low</v>
      </c>
    </row>
    <row r="1080" spans="1:41" hidden="1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 t="str">
        <f t="shared" si="48"/>
        <v>Active</v>
      </c>
      <c r="AK1080">
        <f t="shared" ca="1" si="49"/>
        <v>2001</v>
      </c>
      <c r="AL1080">
        <f t="shared" si="50"/>
        <v>0</v>
      </c>
      <c r="AM1080" t="e" cm="1">
        <f t="array" aca="1" ref="AM1080" ca="1">IF(B1080="Yes",YEAR(TODAY()),BLANK())</f>
        <v>#NAME?</v>
      </c>
      <c r="AN1080" t="str" cm="1">
        <f t="array" ref="AN1080" xml:space="preserve"> _xlfn.IFS(A1080&lt;25,"&lt;25",
A1080&lt;=35,"25-35",
A1080&lt;=45,"36-45",
TRUE,"45+"
)</f>
        <v>36-45</v>
      </c>
      <c r="AO1080" t="str" cm="1">
        <f t="array" ref="AO1080">_xlfn.IFS(S1080&lt;5000,"Low",
S1080&lt;=15000,"Medium",
TRUE,"High")</f>
        <v>High</v>
      </c>
    </row>
    <row r="1081" spans="1:41" hidden="1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 t="str">
        <f t="shared" si="48"/>
        <v>Active</v>
      </c>
      <c r="AK1081">
        <f t="shared" ca="1" si="49"/>
        <v>2016</v>
      </c>
      <c r="AL1081">
        <f t="shared" si="50"/>
        <v>0</v>
      </c>
      <c r="AM1081" t="e" cm="1">
        <f t="array" aca="1" ref="AM1081" ca="1">IF(B1081="Yes",YEAR(TODAY()),BLANK())</f>
        <v>#NAME?</v>
      </c>
      <c r="AN1081" t="str" cm="1">
        <f t="array" ref="AN1081" xml:space="preserve"> _xlfn.IFS(A1081&lt;25,"&lt;25",
A1081&lt;=35,"25-35",
A1081&lt;=45,"36-45",
TRUE,"45+"
)</f>
        <v>36-45</v>
      </c>
      <c r="AO1081" t="str" cm="1">
        <f t="array" ref="AO1081">_xlfn.IFS(S1081&lt;5000,"Low",
S1081&lt;=15000,"Medium",
TRUE,"High")</f>
        <v>Medium</v>
      </c>
    </row>
    <row r="1082" spans="1:41" hidden="1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 t="str">
        <f t="shared" si="48"/>
        <v>Active</v>
      </c>
      <c r="AK1082">
        <f t="shared" ca="1" si="49"/>
        <v>2002</v>
      </c>
      <c r="AL1082">
        <f t="shared" si="50"/>
        <v>0</v>
      </c>
      <c r="AM1082" t="e" cm="1">
        <f t="array" aca="1" ref="AM1082" ca="1">IF(B1082="Yes",YEAR(TODAY()),BLANK())</f>
        <v>#NAME?</v>
      </c>
      <c r="AN1082" t="str" cm="1">
        <f t="array" ref="AN1082" xml:space="preserve"> _xlfn.IFS(A1082&lt;25,"&lt;25",
A1082&lt;=35,"25-35",
A1082&lt;=45,"36-45",
TRUE,"45+"
)</f>
        <v>45+</v>
      </c>
      <c r="AO1082" t="str" cm="1">
        <f t="array" ref="AO1082">_xlfn.IFS(S1082&lt;5000,"Low",
S1082&lt;=15000,"Medium",
TRUE,"High")</f>
        <v>High</v>
      </c>
    </row>
    <row r="1083" spans="1:41" hidden="1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 t="str">
        <f t="shared" si="48"/>
        <v>Active</v>
      </c>
      <c r="AK1083">
        <f t="shared" ca="1" si="49"/>
        <v>2014</v>
      </c>
      <c r="AL1083">
        <f t="shared" si="50"/>
        <v>0</v>
      </c>
      <c r="AM1083" t="e" cm="1">
        <f t="array" aca="1" ref="AM1083" ca="1">IF(B1083="Yes",YEAR(TODAY()),BLANK())</f>
        <v>#NAME?</v>
      </c>
      <c r="AN1083" t="str" cm="1">
        <f t="array" ref="AN1083" xml:space="preserve"> _xlfn.IFS(A1083&lt;25,"&lt;25",
A1083&lt;=35,"25-35",
A1083&lt;=45,"36-45",
TRUE,"45+"
)</f>
        <v>25-35</v>
      </c>
      <c r="AO1083" t="str" cm="1">
        <f t="array" ref="AO1083">_xlfn.IFS(S1083&lt;5000,"Low",
S1083&lt;=15000,"Medium",
TRUE,"High")</f>
        <v>Medium</v>
      </c>
    </row>
    <row r="1084" spans="1:41" hidden="1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 t="str">
        <f t="shared" si="48"/>
        <v>Active</v>
      </c>
      <c r="AK1084">
        <f t="shared" ca="1" si="49"/>
        <v>2020</v>
      </c>
      <c r="AL1084">
        <f t="shared" si="50"/>
        <v>0</v>
      </c>
      <c r="AM1084" t="e" cm="1">
        <f t="array" aca="1" ref="AM1084" ca="1">IF(B1084="Yes",YEAR(TODAY()),BLANK())</f>
        <v>#NAME?</v>
      </c>
      <c r="AN1084" t="str" cm="1">
        <f t="array" ref="AN1084" xml:space="preserve"> _xlfn.IFS(A1084&lt;25,"&lt;25",
A1084&lt;=35,"25-35",
A1084&lt;=45,"36-45",
TRUE,"45+"
)</f>
        <v>&lt;25</v>
      </c>
      <c r="AO1084" t="str" cm="1">
        <f t="array" ref="AO1084">_xlfn.IFS(S1084&lt;5000,"Low",
S1084&lt;=15000,"Medium",
TRUE,"High")</f>
        <v>Low</v>
      </c>
    </row>
    <row r="1085" spans="1:41" hidden="1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 t="str">
        <f t="shared" si="48"/>
        <v>Resigned</v>
      </c>
      <c r="AK1085">
        <f t="shared" ca="1" si="49"/>
        <v>2010</v>
      </c>
      <c r="AL1085">
        <f t="shared" si="50"/>
        <v>1</v>
      </c>
      <c r="AM1085" cm="1">
        <f t="array" aca="1" ref="AM1085" ca="1">IF(B1085="Yes",YEAR(TODAY()),BLANK())</f>
        <v>2025</v>
      </c>
      <c r="AN1085" t="str" cm="1">
        <f t="array" ref="AN1085" xml:space="preserve"> _xlfn.IFS(A1085&lt;25,"&lt;25",
A1085&lt;=35,"25-35",
A1085&lt;=45,"36-45",
TRUE,"45+"
)</f>
        <v>36-45</v>
      </c>
      <c r="AO1085" t="str" cm="1">
        <f t="array" ref="AO1085">_xlfn.IFS(S1085&lt;5000,"Low",
S1085&lt;=15000,"Medium",
TRUE,"High")</f>
        <v>Low</v>
      </c>
    </row>
    <row r="1086" spans="1:41" hidden="1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 t="str">
        <f t="shared" si="48"/>
        <v>Active</v>
      </c>
      <c r="AK1086">
        <f t="shared" ca="1" si="49"/>
        <v>2015</v>
      </c>
      <c r="AL1086">
        <f t="shared" si="50"/>
        <v>0</v>
      </c>
      <c r="AM1086" t="e" cm="1">
        <f t="array" aca="1" ref="AM1086" ca="1">IF(B1086="Yes",YEAR(TODAY()),BLANK())</f>
        <v>#NAME?</v>
      </c>
      <c r="AN1086" t="str" cm="1">
        <f t="array" ref="AN1086" xml:space="preserve"> _xlfn.IFS(A1086&lt;25,"&lt;25",
A1086&lt;=35,"25-35",
A1086&lt;=45,"36-45",
TRUE,"45+"
)</f>
        <v>25-35</v>
      </c>
      <c r="AO1086" t="str" cm="1">
        <f t="array" ref="AO1086">_xlfn.IFS(S1086&lt;5000,"Low",
S1086&lt;=15000,"Medium",
TRUE,"High")</f>
        <v>Medium</v>
      </c>
    </row>
    <row r="1087" spans="1:41" hidden="1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 t="str">
        <f t="shared" si="48"/>
        <v>Resigned</v>
      </c>
      <c r="AK1087">
        <f t="shared" ca="1" si="49"/>
        <v>2018</v>
      </c>
      <c r="AL1087">
        <f t="shared" si="50"/>
        <v>1</v>
      </c>
      <c r="AM1087" cm="1">
        <f t="array" aca="1" ref="AM1087" ca="1">IF(B1087="Yes",YEAR(TODAY()),BLANK())</f>
        <v>2025</v>
      </c>
      <c r="AN1087" t="str" cm="1">
        <f t="array" ref="AN1087" xml:space="preserve"> _xlfn.IFS(A1087&lt;25,"&lt;25",
A1087&lt;=35,"25-35",
A1087&lt;=45,"36-45",
TRUE,"45+"
)</f>
        <v>25-35</v>
      </c>
      <c r="AO1087" t="str" cm="1">
        <f t="array" ref="AO1087">_xlfn.IFS(S1087&lt;5000,"Low",
S1087&lt;=15000,"Medium",
TRUE,"High")</f>
        <v>Low</v>
      </c>
    </row>
    <row r="1088" spans="1:41" hidden="1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 t="str">
        <f t="shared" si="48"/>
        <v>Active</v>
      </c>
      <c r="AK1088">
        <f t="shared" ca="1" si="49"/>
        <v>1993</v>
      </c>
      <c r="AL1088">
        <f t="shared" si="50"/>
        <v>0</v>
      </c>
      <c r="AM1088" t="e" cm="1">
        <f t="array" aca="1" ref="AM1088" ca="1">IF(B1088="Yes",YEAR(TODAY()),BLANK())</f>
        <v>#NAME?</v>
      </c>
      <c r="AN1088" t="str" cm="1">
        <f t="array" ref="AN1088" xml:space="preserve"> _xlfn.IFS(A1088&lt;25,"&lt;25",
A1088&lt;=35,"25-35",
A1088&lt;=45,"36-45",
TRUE,"45+"
)</f>
        <v>45+</v>
      </c>
      <c r="AO1088" t="str" cm="1">
        <f t="array" ref="AO1088">_xlfn.IFS(S1088&lt;5000,"Low",
S1088&lt;=15000,"Medium",
TRUE,"High")</f>
        <v>Medium</v>
      </c>
    </row>
    <row r="1089" spans="1:41" hidden="1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 t="str">
        <f t="shared" si="48"/>
        <v>Active</v>
      </c>
      <c r="AK1089">
        <f t="shared" ca="1" si="49"/>
        <v>2013</v>
      </c>
      <c r="AL1089">
        <f t="shared" si="50"/>
        <v>0</v>
      </c>
      <c r="AM1089" t="e" cm="1">
        <f t="array" aca="1" ref="AM1089" ca="1">IF(B1089="Yes",YEAR(TODAY()),BLANK())</f>
        <v>#NAME?</v>
      </c>
      <c r="AN1089" t="str" cm="1">
        <f t="array" ref="AN1089" xml:space="preserve"> _xlfn.IFS(A1089&lt;25,"&lt;25",
A1089&lt;=35,"25-35",
A1089&lt;=45,"36-45",
TRUE,"45+"
)</f>
        <v>25-35</v>
      </c>
      <c r="AO1089" t="str" cm="1">
        <f t="array" ref="AO1089">_xlfn.IFS(S1089&lt;5000,"Low",
S1089&lt;=15000,"Medium",
TRUE,"High")</f>
        <v>Low</v>
      </c>
    </row>
    <row r="1090" spans="1:41" hidden="1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 t="str">
        <f t="shared" si="48"/>
        <v>Active</v>
      </c>
      <c r="AK1090">
        <f t="shared" ca="1" si="49"/>
        <v>2021</v>
      </c>
      <c r="AL1090">
        <f t="shared" si="50"/>
        <v>0</v>
      </c>
      <c r="AM1090" t="e" cm="1">
        <f t="array" aca="1" ref="AM1090" ca="1">IF(B1090="Yes",YEAR(TODAY()),BLANK())</f>
        <v>#NAME?</v>
      </c>
      <c r="AN1090" t="str" cm="1">
        <f t="array" ref="AN1090" xml:space="preserve"> _xlfn.IFS(A1090&lt;25,"&lt;25",
A1090&lt;=35,"25-35",
A1090&lt;=45,"36-45",
TRUE,"45+"
)</f>
        <v>36-45</v>
      </c>
      <c r="AO1090" t="str" cm="1">
        <f t="array" ref="AO1090">_xlfn.IFS(S1090&lt;5000,"Low",
S1090&lt;=15000,"Medium",
TRUE,"High")</f>
        <v>Low</v>
      </c>
    </row>
    <row r="1091" spans="1:41" hidden="1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 t="str">
        <f t="shared" ref="AJ1091:AJ1154" si="51">IF(B1091="Yes", "Resigned","Active")</f>
        <v>Active</v>
      </c>
      <c r="AK1091">
        <f t="shared" ref="AK1091:AK1154" ca="1" si="52">YEAR(TODAY()) - AC1091</f>
        <v>2015</v>
      </c>
      <c r="AL1091">
        <f t="shared" ref="AL1091:AL1154" si="53">IF(B1091="Yes",1,0)</f>
        <v>0</v>
      </c>
      <c r="AM1091" t="e" cm="1">
        <f t="array" aca="1" ref="AM1091" ca="1">IF(B1091="Yes",YEAR(TODAY()),BLANK())</f>
        <v>#NAME?</v>
      </c>
      <c r="AN1091" t="str" cm="1">
        <f t="array" ref="AN1091" xml:space="preserve"> _xlfn.IFS(A1091&lt;25,"&lt;25",
A1091&lt;=35,"25-35",
A1091&lt;=45,"36-45",
TRUE,"45+"
)</f>
        <v>36-45</v>
      </c>
      <c r="AO1091" t="str" cm="1">
        <f t="array" ref="AO1091">_xlfn.IFS(S1091&lt;5000,"Low",
S1091&lt;=15000,"Medium",
TRUE,"High")</f>
        <v>Low</v>
      </c>
    </row>
    <row r="1092" spans="1:41" hidden="1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 t="str">
        <f t="shared" si="51"/>
        <v>Active</v>
      </c>
      <c r="AK1092">
        <f t="shared" ca="1" si="52"/>
        <v>2016</v>
      </c>
      <c r="AL1092">
        <f t="shared" si="53"/>
        <v>0</v>
      </c>
      <c r="AM1092" t="e" cm="1">
        <f t="array" aca="1" ref="AM1092" ca="1">IF(B1092="Yes",YEAR(TODAY()),BLANK())</f>
        <v>#NAME?</v>
      </c>
      <c r="AN1092" t="str" cm="1">
        <f t="array" ref="AN1092" xml:space="preserve"> _xlfn.IFS(A1092&lt;25,"&lt;25",
A1092&lt;=35,"25-35",
A1092&lt;=45,"36-45",
TRUE,"45+"
)</f>
        <v>25-35</v>
      </c>
      <c r="AO1092" t="str" cm="1">
        <f t="array" ref="AO1092">_xlfn.IFS(S1092&lt;5000,"Low",
S1092&lt;=15000,"Medium",
TRUE,"High")</f>
        <v>Medium</v>
      </c>
    </row>
    <row r="1093" spans="1:41" hidden="1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 t="str">
        <f t="shared" si="51"/>
        <v>Active</v>
      </c>
      <c r="AK1093">
        <f t="shared" ca="1" si="52"/>
        <v>2020</v>
      </c>
      <c r="AL1093">
        <f t="shared" si="53"/>
        <v>0</v>
      </c>
      <c r="AM1093" t="e" cm="1">
        <f t="array" aca="1" ref="AM1093" ca="1">IF(B1093="Yes",YEAR(TODAY()),BLANK())</f>
        <v>#NAME?</v>
      </c>
      <c r="AN1093" t="str" cm="1">
        <f t="array" ref="AN1093" xml:space="preserve"> _xlfn.IFS(A1093&lt;25,"&lt;25",
A1093&lt;=35,"25-35",
A1093&lt;=45,"36-45",
TRUE,"45+"
)</f>
        <v>25-35</v>
      </c>
      <c r="AO1093" t="str" cm="1">
        <f t="array" ref="AO1093">_xlfn.IFS(S1093&lt;5000,"Low",
S1093&lt;=15000,"Medium",
TRUE,"High")</f>
        <v>Low</v>
      </c>
    </row>
    <row r="1094" spans="1:41" hidden="1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 t="str">
        <f t="shared" si="51"/>
        <v>Active</v>
      </c>
      <c r="AK1094">
        <f t="shared" ca="1" si="52"/>
        <v>2017</v>
      </c>
      <c r="AL1094">
        <f t="shared" si="53"/>
        <v>0</v>
      </c>
      <c r="AM1094" t="e" cm="1">
        <f t="array" aca="1" ref="AM1094" ca="1">IF(B1094="Yes",YEAR(TODAY()),BLANK())</f>
        <v>#NAME?</v>
      </c>
      <c r="AN1094" t="str" cm="1">
        <f t="array" ref="AN1094" xml:space="preserve"> _xlfn.IFS(A1094&lt;25,"&lt;25",
A1094&lt;=35,"25-35",
A1094&lt;=45,"36-45",
TRUE,"45+"
)</f>
        <v>36-45</v>
      </c>
      <c r="AO1094" t="str" cm="1">
        <f t="array" ref="AO1094">_xlfn.IFS(S1094&lt;5000,"Low",
S1094&lt;=15000,"Medium",
TRUE,"High")</f>
        <v>Low</v>
      </c>
    </row>
    <row r="1095" spans="1:41" hidden="1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 t="str">
        <f t="shared" si="51"/>
        <v>Active</v>
      </c>
      <c r="AK1095">
        <f t="shared" ca="1" si="52"/>
        <v>2001</v>
      </c>
      <c r="AL1095">
        <f t="shared" si="53"/>
        <v>0</v>
      </c>
      <c r="AM1095" t="e" cm="1">
        <f t="array" aca="1" ref="AM1095" ca="1">IF(B1095="Yes",YEAR(TODAY()),BLANK())</f>
        <v>#NAME?</v>
      </c>
      <c r="AN1095" t="str" cm="1">
        <f t="array" ref="AN1095" xml:space="preserve"> _xlfn.IFS(A1095&lt;25,"&lt;25",
A1095&lt;=35,"25-35",
A1095&lt;=45,"36-45",
TRUE,"45+"
)</f>
        <v>36-45</v>
      </c>
      <c r="AO1095" t="str" cm="1">
        <f t="array" ref="AO1095">_xlfn.IFS(S1095&lt;5000,"Low",
S1095&lt;=15000,"Medium",
TRUE,"High")</f>
        <v>Medium</v>
      </c>
    </row>
    <row r="1096" spans="1:41" hidden="1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 t="str">
        <f t="shared" si="51"/>
        <v>Active</v>
      </c>
      <c r="AK1096">
        <f t="shared" ca="1" si="52"/>
        <v>2016</v>
      </c>
      <c r="AL1096">
        <f t="shared" si="53"/>
        <v>0</v>
      </c>
      <c r="AM1096" t="e" cm="1">
        <f t="array" aca="1" ref="AM1096" ca="1">IF(B1096="Yes",YEAR(TODAY()),BLANK())</f>
        <v>#NAME?</v>
      </c>
      <c r="AN1096" t="str" cm="1">
        <f t="array" ref="AN1096" xml:space="preserve"> _xlfn.IFS(A1096&lt;25,"&lt;25",
A1096&lt;=35,"25-35",
A1096&lt;=45,"36-45",
TRUE,"45+"
)</f>
        <v>36-45</v>
      </c>
      <c r="AO1096" t="str" cm="1">
        <f t="array" ref="AO1096">_xlfn.IFS(S1096&lt;5000,"Low",
S1096&lt;=15000,"Medium",
TRUE,"High")</f>
        <v>Medium</v>
      </c>
    </row>
    <row r="1097" spans="1:41" hidden="1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 t="str">
        <f t="shared" si="51"/>
        <v>Active</v>
      </c>
      <c r="AK1097">
        <f t="shared" ca="1" si="52"/>
        <v>2010</v>
      </c>
      <c r="AL1097">
        <f t="shared" si="53"/>
        <v>0</v>
      </c>
      <c r="AM1097" t="e" cm="1">
        <f t="array" aca="1" ref="AM1097" ca="1">IF(B1097="Yes",YEAR(TODAY()),BLANK())</f>
        <v>#NAME?</v>
      </c>
      <c r="AN1097" t="str" cm="1">
        <f t="array" ref="AN1097" xml:space="preserve"> _xlfn.IFS(A1097&lt;25,"&lt;25",
A1097&lt;=35,"25-35",
A1097&lt;=45,"36-45",
TRUE,"45+"
)</f>
        <v>25-35</v>
      </c>
      <c r="AO1097" t="str" cm="1">
        <f t="array" ref="AO1097">_xlfn.IFS(S1097&lt;5000,"Low",
S1097&lt;=15000,"Medium",
TRUE,"High")</f>
        <v>Medium</v>
      </c>
    </row>
    <row r="1098" spans="1:41" hidden="1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 t="str">
        <f t="shared" si="51"/>
        <v>Active</v>
      </c>
      <c r="AK1098">
        <f t="shared" ca="1" si="52"/>
        <v>2004</v>
      </c>
      <c r="AL1098">
        <f t="shared" si="53"/>
        <v>0</v>
      </c>
      <c r="AM1098" t="e" cm="1">
        <f t="array" aca="1" ref="AM1098" ca="1">IF(B1098="Yes",YEAR(TODAY()),BLANK())</f>
        <v>#NAME?</v>
      </c>
      <c r="AN1098" t="str" cm="1">
        <f t="array" ref="AN1098" xml:space="preserve"> _xlfn.IFS(A1098&lt;25,"&lt;25",
A1098&lt;=35,"25-35",
A1098&lt;=45,"36-45",
TRUE,"45+"
)</f>
        <v>36-45</v>
      </c>
      <c r="AO1098" t="str" cm="1">
        <f t="array" ref="AO1098">_xlfn.IFS(S1098&lt;5000,"Low",
S1098&lt;=15000,"Medium",
TRUE,"High")</f>
        <v>High</v>
      </c>
    </row>
    <row r="1099" spans="1:41" hidden="1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 t="str">
        <f t="shared" si="51"/>
        <v>Active</v>
      </c>
      <c r="AK1099">
        <f t="shared" ca="1" si="52"/>
        <v>2023</v>
      </c>
      <c r="AL1099">
        <f t="shared" si="53"/>
        <v>0</v>
      </c>
      <c r="AM1099" t="e" cm="1">
        <f t="array" aca="1" ref="AM1099" ca="1">IF(B1099="Yes",YEAR(TODAY()),BLANK())</f>
        <v>#NAME?</v>
      </c>
      <c r="AN1099" t="str" cm="1">
        <f t="array" ref="AN1099" xml:space="preserve"> _xlfn.IFS(A1099&lt;25,"&lt;25",
A1099&lt;=35,"25-35",
A1099&lt;=45,"36-45",
TRUE,"45+"
)</f>
        <v>&lt;25</v>
      </c>
      <c r="AO1099" t="str" cm="1">
        <f t="array" ref="AO1099">_xlfn.IFS(S1099&lt;5000,"Low",
S1099&lt;=15000,"Medium",
TRUE,"High")</f>
        <v>Low</v>
      </c>
    </row>
    <row r="1100" spans="1:41" hidden="1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 t="str">
        <f t="shared" si="51"/>
        <v>Active</v>
      </c>
      <c r="AK1100">
        <f t="shared" ca="1" si="52"/>
        <v>2017</v>
      </c>
      <c r="AL1100">
        <f t="shared" si="53"/>
        <v>0</v>
      </c>
      <c r="AM1100" t="e" cm="1">
        <f t="array" aca="1" ref="AM1100" ca="1">IF(B1100="Yes",YEAR(TODAY()),BLANK())</f>
        <v>#NAME?</v>
      </c>
      <c r="AN1100" t="str" cm="1">
        <f t="array" ref="AN1100" xml:space="preserve"> _xlfn.IFS(A1100&lt;25,"&lt;25",
A1100&lt;=35,"25-35",
A1100&lt;=45,"36-45",
TRUE,"45+"
)</f>
        <v>36-45</v>
      </c>
      <c r="AO1100" t="str" cm="1">
        <f t="array" ref="AO1100">_xlfn.IFS(S1100&lt;5000,"Low",
S1100&lt;=15000,"Medium",
TRUE,"High")</f>
        <v>Low</v>
      </c>
    </row>
    <row r="1101" spans="1:41" hidden="1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 t="str">
        <f t="shared" si="51"/>
        <v>Active</v>
      </c>
      <c r="AK1101">
        <f t="shared" ca="1" si="52"/>
        <v>2015</v>
      </c>
      <c r="AL1101">
        <f t="shared" si="53"/>
        <v>0</v>
      </c>
      <c r="AM1101" t="e" cm="1">
        <f t="array" aca="1" ref="AM1101" ca="1">IF(B1101="Yes",YEAR(TODAY()),BLANK())</f>
        <v>#NAME?</v>
      </c>
      <c r="AN1101" t="str" cm="1">
        <f t="array" ref="AN1101" xml:space="preserve"> _xlfn.IFS(A1101&lt;25,"&lt;25",
A1101&lt;=35,"25-35",
A1101&lt;=45,"36-45",
TRUE,"45+"
)</f>
        <v>36-45</v>
      </c>
      <c r="AO1101" t="str" cm="1">
        <f t="array" ref="AO1101">_xlfn.IFS(S1101&lt;5000,"Low",
S1101&lt;=15000,"Medium",
TRUE,"High")</f>
        <v>Medium</v>
      </c>
    </row>
    <row r="1102" spans="1:41" hidden="1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 t="str">
        <f t="shared" si="51"/>
        <v>Active</v>
      </c>
      <c r="AK1102">
        <f t="shared" ca="1" si="52"/>
        <v>2019</v>
      </c>
      <c r="AL1102">
        <f t="shared" si="53"/>
        <v>0</v>
      </c>
      <c r="AM1102" t="e" cm="1">
        <f t="array" aca="1" ref="AM1102" ca="1">IF(B1102="Yes",YEAR(TODAY()),BLANK())</f>
        <v>#NAME?</v>
      </c>
      <c r="AN1102" t="str" cm="1">
        <f t="array" ref="AN1102" xml:space="preserve"> _xlfn.IFS(A1102&lt;25,"&lt;25",
A1102&lt;=35,"25-35",
A1102&lt;=45,"36-45",
TRUE,"45+"
)</f>
        <v>25-35</v>
      </c>
      <c r="AO1102" t="str" cm="1">
        <f t="array" ref="AO1102">_xlfn.IFS(S1102&lt;5000,"Low",
S1102&lt;=15000,"Medium",
TRUE,"High")</f>
        <v>Low</v>
      </c>
    </row>
    <row r="1103" spans="1:41" hidden="1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 t="str">
        <f t="shared" si="51"/>
        <v>Active</v>
      </c>
      <c r="AK1103">
        <f t="shared" ca="1" si="52"/>
        <v>2013</v>
      </c>
      <c r="AL1103">
        <f t="shared" si="53"/>
        <v>0</v>
      </c>
      <c r="AM1103" t="e" cm="1">
        <f t="array" aca="1" ref="AM1103" ca="1">IF(B1103="Yes",YEAR(TODAY()),BLANK())</f>
        <v>#NAME?</v>
      </c>
      <c r="AN1103" t="str" cm="1">
        <f t="array" ref="AN1103" xml:space="preserve"> _xlfn.IFS(A1103&lt;25,"&lt;25",
A1103&lt;=35,"25-35",
A1103&lt;=45,"36-45",
TRUE,"45+"
)</f>
        <v>25-35</v>
      </c>
      <c r="AO1103" t="str" cm="1">
        <f t="array" ref="AO1103">_xlfn.IFS(S1103&lt;5000,"Low",
S1103&lt;=15000,"Medium",
TRUE,"High")</f>
        <v>Medium</v>
      </c>
    </row>
    <row r="1104" spans="1:41" hidden="1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 t="str">
        <f t="shared" si="51"/>
        <v>Active</v>
      </c>
      <c r="AK1104">
        <f t="shared" ca="1" si="52"/>
        <v>2018</v>
      </c>
      <c r="AL1104">
        <f t="shared" si="53"/>
        <v>0</v>
      </c>
      <c r="AM1104" t="e" cm="1">
        <f t="array" aca="1" ref="AM1104" ca="1">IF(B1104="Yes",YEAR(TODAY()),BLANK())</f>
        <v>#NAME?</v>
      </c>
      <c r="AN1104" t="str" cm="1">
        <f t="array" ref="AN1104" xml:space="preserve"> _xlfn.IFS(A1104&lt;25,"&lt;25",
A1104&lt;=35,"25-35",
A1104&lt;=45,"36-45",
TRUE,"45+"
)</f>
        <v>36-45</v>
      </c>
      <c r="AO1104" t="str" cm="1">
        <f t="array" ref="AO1104">_xlfn.IFS(S1104&lt;5000,"Low",
S1104&lt;=15000,"Medium",
TRUE,"High")</f>
        <v>Low</v>
      </c>
    </row>
    <row r="1105" spans="1:41" hidden="1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 t="str">
        <f t="shared" si="51"/>
        <v>Active</v>
      </c>
      <c r="AK1105">
        <f t="shared" ca="1" si="52"/>
        <v>2007</v>
      </c>
      <c r="AL1105">
        <f t="shared" si="53"/>
        <v>0</v>
      </c>
      <c r="AM1105" t="e" cm="1">
        <f t="array" aca="1" ref="AM1105" ca="1">IF(B1105="Yes",YEAR(TODAY()),BLANK())</f>
        <v>#NAME?</v>
      </c>
      <c r="AN1105" t="str" cm="1">
        <f t="array" ref="AN1105" xml:space="preserve"> _xlfn.IFS(A1105&lt;25,"&lt;25",
A1105&lt;=35,"25-35",
A1105&lt;=45,"36-45",
TRUE,"45+"
)</f>
        <v>45+</v>
      </c>
      <c r="AO1105" t="str" cm="1">
        <f t="array" ref="AO1105">_xlfn.IFS(S1105&lt;5000,"Low",
S1105&lt;=15000,"Medium",
TRUE,"High")</f>
        <v>Medium</v>
      </c>
    </row>
    <row r="1106" spans="1:41" hidden="1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 t="str">
        <f t="shared" si="51"/>
        <v>Active</v>
      </c>
      <c r="AK1106">
        <f t="shared" ca="1" si="52"/>
        <v>2020</v>
      </c>
      <c r="AL1106">
        <f t="shared" si="53"/>
        <v>0</v>
      </c>
      <c r="AM1106" t="e" cm="1">
        <f t="array" aca="1" ref="AM1106" ca="1">IF(B1106="Yes",YEAR(TODAY()),BLANK())</f>
        <v>#NAME?</v>
      </c>
      <c r="AN1106" t="str" cm="1">
        <f t="array" ref="AN1106" xml:space="preserve"> _xlfn.IFS(A1106&lt;25,"&lt;25",
A1106&lt;=35,"25-35",
A1106&lt;=45,"36-45",
TRUE,"45+"
)</f>
        <v>25-35</v>
      </c>
      <c r="AO1106" t="str" cm="1">
        <f t="array" ref="AO1106">_xlfn.IFS(S1106&lt;5000,"Low",
S1106&lt;=15000,"Medium",
TRUE,"High")</f>
        <v>Low</v>
      </c>
    </row>
    <row r="1107" spans="1:41" hidden="1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 t="str">
        <f t="shared" si="51"/>
        <v>Active</v>
      </c>
      <c r="AK1107">
        <f t="shared" ca="1" si="52"/>
        <v>2017</v>
      </c>
      <c r="AL1107">
        <f t="shared" si="53"/>
        <v>0</v>
      </c>
      <c r="AM1107" t="e" cm="1">
        <f t="array" aca="1" ref="AM1107" ca="1">IF(B1107="Yes",YEAR(TODAY()),BLANK())</f>
        <v>#NAME?</v>
      </c>
      <c r="AN1107" t="str" cm="1">
        <f t="array" ref="AN1107" xml:space="preserve"> _xlfn.IFS(A1107&lt;25,"&lt;25",
A1107&lt;=35,"25-35",
A1107&lt;=45,"36-45",
TRUE,"45+"
)</f>
        <v>25-35</v>
      </c>
      <c r="AO1107" t="str" cm="1">
        <f t="array" ref="AO1107">_xlfn.IFS(S1107&lt;5000,"Low",
S1107&lt;=15000,"Medium",
TRUE,"High")</f>
        <v>Medium</v>
      </c>
    </row>
    <row r="1108" spans="1:41" hidden="1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 t="str">
        <f t="shared" si="51"/>
        <v>Resigned</v>
      </c>
      <c r="AK1108">
        <f t="shared" ca="1" si="52"/>
        <v>2015</v>
      </c>
      <c r="AL1108">
        <f t="shared" si="53"/>
        <v>1</v>
      </c>
      <c r="AM1108" cm="1">
        <f t="array" aca="1" ref="AM1108" ca="1">IF(B1108="Yes",YEAR(TODAY()),BLANK())</f>
        <v>2025</v>
      </c>
      <c r="AN1108" t="str" cm="1">
        <f t="array" ref="AN1108" xml:space="preserve"> _xlfn.IFS(A1108&lt;25,"&lt;25",
A1108&lt;=35,"25-35",
A1108&lt;=45,"36-45",
TRUE,"45+"
)</f>
        <v>25-35</v>
      </c>
      <c r="AO1108" t="str" cm="1">
        <f t="array" ref="AO1108">_xlfn.IFS(S1108&lt;5000,"Low",
S1108&lt;=15000,"Medium",
TRUE,"High")</f>
        <v>Medium</v>
      </c>
    </row>
    <row r="1109" spans="1:41" hidden="1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 t="str">
        <f t="shared" si="51"/>
        <v>Active</v>
      </c>
      <c r="AK1109">
        <f t="shared" ca="1" si="52"/>
        <v>2015</v>
      </c>
      <c r="AL1109">
        <f t="shared" si="53"/>
        <v>0</v>
      </c>
      <c r="AM1109" t="e" cm="1">
        <f t="array" aca="1" ref="AM1109" ca="1">IF(B1109="Yes",YEAR(TODAY()),BLANK())</f>
        <v>#NAME?</v>
      </c>
      <c r="AN1109" t="str" cm="1">
        <f t="array" ref="AN1109" xml:space="preserve"> _xlfn.IFS(A1109&lt;25,"&lt;25",
A1109&lt;=35,"25-35",
A1109&lt;=45,"36-45",
TRUE,"45+"
)</f>
        <v>36-45</v>
      </c>
      <c r="AO1109" t="str" cm="1">
        <f t="array" ref="AO1109">_xlfn.IFS(S1109&lt;5000,"Low",
S1109&lt;=15000,"Medium",
TRUE,"High")</f>
        <v>Medium</v>
      </c>
    </row>
    <row r="1110" spans="1:41" hidden="1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 t="str">
        <f t="shared" si="51"/>
        <v>Active</v>
      </c>
      <c r="AK1110">
        <f t="shared" ca="1" si="52"/>
        <v>2022</v>
      </c>
      <c r="AL1110">
        <f t="shared" si="53"/>
        <v>0</v>
      </c>
      <c r="AM1110" t="e" cm="1">
        <f t="array" aca="1" ref="AM1110" ca="1">IF(B1110="Yes",YEAR(TODAY()),BLANK())</f>
        <v>#NAME?</v>
      </c>
      <c r="AN1110" t="str" cm="1">
        <f t="array" ref="AN1110" xml:space="preserve"> _xlfn.IFS(A1110&lt;25,"&lt;25",
A1110&lt;=35,"25-35",
A1110&lt;=45,"36-45",
TRUE,"45+"
)</f>
        <v>25-35</v>
      </c>
      <c r="AO1110" t="str" cm="1">
        <f t="array" ref="AO1110">_xlfn.IFS(S1110&lt;5000,"Low",
S1110&lt;=15000,"Medium",
TRUE,"High")</f>
        <v>Low</v>
      </c>
    </row>
    <row r="1111" spans="1:41" hidden="1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 t="str">
        <f t="shared" si="51"/>
        <v>Active</v>
      </c>
      <c r="AK1111">
        <f t="shared" ca="1" si="52"/>
        <v>2016</v>
      </c>
      <c r="AL1111">
        <f t="shared" si="53"/>
        <v>0</v>
      </c>
      <c r="AM1111" t="e" cm="1">
        <f t="array" aca="1" ref="AM1111" ca="1">IF(B1111="Yes",YEAR(TODAY()),BLANK())</f>
        <v>#NAME?</v>
      </c>
      <c r="AN1111" t="str" cm="1">
        <f t="array" ref="AN1111" xml:space="preserve"> _xlfn.IFS(A1111&lt;25,"&lt;25",
A1111&lt;=35,"25-35",
A1111&lt;=45,"36-45",
TRUE,"45+"
)</f>
        <v>25-35</v>
      </c>
      <c r="AO1111" t="str" cm="1">
        <f t="array" ref="AO1111">_xlfn.IFS(S1111&lt;5000,"Low",
S1111&lt;=15000,"Medium",
TRUE,"High")</f>
        <v>Medium</v>
      </c>
    </row>
    <row r="1112" spans="1:41" hidden="1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 t="str">
        <f t="shared" si="51"/>
        <v>Resigned</v>
      </c>
      <c r="AK1112">
        <f t="shared" ca="1" si="52"/>
        <v>2024</v>
      </c>
      <c r="AL1112">
        <f t="shared" si="53"/>
        <v>1</v>
      </c>
      <c r="AM1112" cm="1">
        <f t="array" aca="1" ref="AM1112" ca="1">IF(B1112="Yes",YEAR(TODAY()),BLANK())</f>
        <v>2025</v>
      </c>
      <c r="AN1112" t="str" cm="1">
        <f t="array" ref="AN1112" xml:space="preserve"> _xlfn.IFS(A1112&lt;25,"&lt;25",
A1112&lt;=35,"25-35",
A1112&lt;=45,"36-45",
TRUE,"45+"
)</f>
        <v>25-35</v>
      </c>
      <c r="AO1112" t="str" cm="1">
        <f t="array" ref="AO1112">_xlfn.IFS(S1112&lt;5000,"Low",
S1112&lt;=15000,"Medium",
TRUE,"High")</f>
        <v>Low</v>
      </c>
    </row>
    <row r="1113" spans="1:41" hidden="1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 t="str">
        <f t="shared" si="51"/>
        <v>Resigned</v>
      </c>
      <c r="AK1113">
        <f t="shared" ca="1" si="52"/>
        <v>1991</v>
      </c>
      <c r="AL1113">
        <f t="shared" si="53"/>
        <v>1</v>
      </c>
      <c r="AM1113" cm="1">
        <f t="array" aca="1" ref="AM1113" ca="1">IF(B1113="Yes",YEAR(TODAY()),BLANK())</f>
        <v>2025</v>
      </c>
      <c r="AN1113" t="str" cm="1">
        <f t="array" ref="AN1113" xml:space="preserve"> _xlfn.IFS(A1113&lt;25,"&lt;25",
A1113&lt;=35,"25-35",
A1113&lt;=45,"36-45",
TRUE,"45+"
)</f>
        <v>45+</v>
      </c>
      <c r="AO1113" t="str" cm="1">
        <f t="array" ref="AO1113">_xlfn.IFS(S1113&lt;5000,"Low",
S1113&lt;=15000,"Medium",
TRUE,"High")</f>
        <v>Medium</v>
      </c>
    </row>
    <row r="1114" spans="1:41" hidden="1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 t="str">
        <f t="shared" si="51"/>
        <v>Resigned</v>
      </c>
      <c r="AK1114">
        <f t="shared" ca="1" si="52"/>
        <v>2018</v>
      </c>
      <c r="AL1114">
        <f t="shared" si="53"/>
        <v>1</v>
      </c>
      <c r="AM1114" cm="1">
        <f t="array" aca="1" ref="AM1114" ca="1">IF(B1114="Yes",YEAR(TODAY()),BLANK())</f>
        <v>2025</v>
      </c>
      <c r="AN1114" t="str" cm="1">
        <f t="array" ref="AN1114" xml:space="preserve"> _xlfn.IFS(A1114&lt;25,"&lt;25",
A1114&lt;=35,"25-35",
A1114&lt;=45,"36-45",
TRUE,"45+"
)</f>
        <v>36-45</v>
      </c>
      <c r="AO1114" t="str" cm="1">
        <f t="array" ref="AO1114">_xlfn.IFS(S1114&lt;5000,"Low",
S1114&lt;=15000,"Medium",
TRUE,"High")</f>
        <v>Low</v>
      </c>
    </row>
    <row r="1115" spans="1:41" hidden="1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 t="str">
        <f t="shared" si="51"/>
        <v>Active</v>
      </c>
      <c r="AK1115">
        <f t="shared" ca="1" si="52"/>
        <v>2016</v>
      </c>
      <c r="AL1115">
        <f t="shared" si="53"/>
        <v>0</v>
      </c>
      <c r="AM1115" t="e" cm="1">
        <f t="array" aca="1" ref="AM1115" ca="1">IF(B1115="Yes",YEAR(TODAY()),BLANK())</f>
        <v>#NAME?</v>
      </c>
      <c r="AN1115" t="str" cm="1">
        <f t="array" ref="AN1115" xml:space="preserve"> _xlfn.IFS(A1115&lt;25,"&lt;25",
A1115&lt;=35,"25-35",
A1115&lt;=45,"36-45",
TRUE,"45+"
)</f>
        <v>25-35</v>
      </c>
      <c r="AO1115" t="str" cm="1">
        <f t="array" ref="AO1115">_xlfn.IFS(S1115&lt;5000,"Low",
S1115&lt;=15000,"Medium",
TRUE,"High")</f>
        <v>Low</v>
      </c>
    </row>
    <row r="1116" spans="1:41" hidden="1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 t="str">
        <f t="shared" si="51"/>
        <v>Active</v>
      </c>
      <c r="AK1116">
        <f t="shared" ca="1" si="52"/>
        <v>2015</v>
      </c>
      <c r="AL1116">
        <f t="shared" si="53"/>
        <v>0</v>
      </c>
      <c r="AM1116" t="e" cm="1">
        <f t="array" aca="1" ref="AM1116" ca="1">IF(B1116="Yes",YEAR(TODAY()),BLANK())</f>
        <v>#NAME?</v>
      </c>
      <c r="AN1116" t="str" cm="1">
        <f t="array" ref="AN1116" xml:space="preserve"> _xlfn.IFS(A1116&lt;25,"&lt;25",
A1116&lt;=35,"25-35",
A1116&lt;=45,"36-45",
TRUE,"45+"
)</f>
        <v>45+</v>
      </c>
      <c r="AO1116" t="str" cm="1">
        <f t="array" ref="AO1116">_xlfn.IFS(S1116&lt;5000,"Low",
S1116&lt;=15000,"Medium",
TRUE,"High")</f>
        <v>Low</v>
      </c>
    </row>
    <row r="1117" spans="1:41" hidden="1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 t="str">
        <f t="shared" si="51"/>
        <v>Active</v>
      </c>
      <c r="AK1117">
        <f t="shared" ca="1" si="52"/>
        <v>2024</v>
      </c>
      <c r="AL1117">
        <f t="shared" si="53"/>
        <v>0</v>
      </c>
      <c r="AM1117" t="e" cm="1">
        <f t="array" aca="1" ref="AM1117" ca="1">IF(B1117="Yes",YEAR(TODAY()),BLANK())</f>
        <v>#NAME?</v>
      </c>
      <c r="AN1117" t="str" cm="1">
        <f t="array" ref="AN1117" xml:space="preserve"> _xlfn.IFS(A1117&lt;25,"&lt;25",
A1117&lt;=35,"25-35",
A1117&lt;=45,"36-45",
TRUE,"45+"
)</f>
        <v>25-35</v>
      </c>
      <c r="AO1117" t="str" cm="1">
        <f t="array" ref="AO1117">_xlfn.IFS(S1117&lt;5000,"Low",
S1117&lt;=15000,"Medium",
TRUE,"High")</f>
        <v>Low</v>
      </c>
    </row>
    <row r="1118" spans="1:41" hidden="1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 t="str">
        <f t="shared" si="51"/>
        <v>Active</v>
      </c>
      <c r="AK1118">
        <f t="shared" ca="1" si="52"/>
        <v>1989</v>
      </c>
      <c r="AL1118">
        <f t="shared" si="53"/>
        <v>0</v>
      </c>
      <c r="AM1118" t="e" cm="1">
        <f t="array" aca="1" ref="AM1118" ca="1">IF(B1118="Yes",YEAR(TODAY()),BLANK())</f>
        <v>#NAME?</v>
      </c>
      <c r="AN1118" t="str" cm="1">
        <f t="array" ref="AN1118" xml:space="preserve"> _xlfn.IFS(A1118&lt;25,"&lt;25",
A1118&lt;=35,"25-35",
A1118&lt;=45,"36-45",
TRUE,"45+"
)</f>
        <v>45+</v>
      </c>
      <c r="AO1118" t="str" cm="1">
        <f t="array" ref="AO1118">_xlfn.IFS(S1118&lt;5000,"Low",
S1118&lt;=15000,"Medium",
TRUE,"High")</f>
        <v>High</v>
      </c>
    </row>
    <row r="1119" spans="1:41" hidden="1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 t="str">
        <f t="shared" si="51"/>
        <v>Active</v>
      </c>
      <c r="AK1119">
        <f t="shared" ca="1" si="52"/>
        <v>2016</v>
      </c>
      <c r="AL1119">
        <f t="shared" si="53"/>
        <v>0</v>
      </c>
      <c r="AM1119" t="e" cm="1">
        <f t="array" aca="1" ref="AM1119" ca="1">IF(B1119="Yes",YEAR(TODAY()),BLANK())</f>
        <v>#NAME?</v>
      </c>
      <c r="AN1119" t="str" cm="1">
        <f t="array" ref="AN1119" xml:space="preserve"> _xlfn.IFS(A1119&lt;25,"&lt;25",
A1119&lt;=35,"25-35",
A1119&lt;=45,"36-45",
TRUE,"45+"
)</f>
        <v>25-35</v>
      </c>
      <c r="AO1119" t="str" cm="1">
        <f t="array" ref="AO1119">_xlfn.IFS(S1119&lt;5000,"Low",
S1119&lt;=15000,"Medium",
TRUE,"High")</f>
        <v>Medium</v>
      </c>
    </row>
    <row r="1120" spans="1:41" hidden="1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 t="str">
        <f t="shared" si="51"/>
        <v>Active</v>
      </c>
      <c r="AK1120">
        <f t="shared" ca="1" si="52"/>
        <v>2024</v>
      </c>
      <c r="AL1120">
        <f t="shared" si="53"/>
        <v>0</v>
      </c>
      <c r="AM1120" t="e" cm="1">
        <f t="array" aca="1" ref="AM1120" ca="1">IF(B1120="Yes",YEAR(TODAY()),BLANK())</f>
        <v>#NAME?</v>
      </c>
      <c r="AN1120" t="str" cm="1">
        <f t="array" ref="AN1120" xml:space="preserve"> _xlfn.IFS(A1120&lt;25,"&lt;25",
A1120&lt;=35,"25-35",
A1120&lt;=45,"36-45",
TRUE,"45+"
)</f>
        <v>25-35</v>
      </c>
      <c r="AO1120" t="str" cm="1">
        <f t="array" ref="AO1120">_xlfn.IFS(S1120&lt;5000,"Low",
S1120&lt;=15000,"Medium",
TRUE,"High")</f>
        <v>Low</v>
      </c>
    </row>
    <row r="1121" spans="1:41" hidden="1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 t="str">
        <f t="shared" si="51"/>
        <v>Active</v>
      </c>
      <c r="AK1121">
        <f t="shared" ca="1" si="52"/>
        <v>2015</v>
      </c>
      <c r="AL1121">
        <f t="shared" si="53"/>
        <v>0</v>
      </c>
      <c r="AM1121" t="e" cm="1">
        <f t="array" aca="1" ref="AM1121" ca="1">IF(B1121="Yes",YEAR(TODAY()),BLANK())</f>
        <v>#NAME?</v>
      </c>
      <c r="AN1121" t="str" cm="1">
        <f t="array" ref="AN1121" xml:space="preserve"> _xlfn.IFS(A1121&lt;25,"&lt;25",
A1121&lt;=35,"25-35",
A1121&lt;=45,"36-45",
TRUE,"45+"
)</f>
        <v>36-45</v>
      </c>
      <c r="AO1121" t="str" cm="1">
        <f t="array" ref="AO1121">_xlfn.IFS(S1121&lt;5000,"Low",
S1121&lt;=15000,"Medium",
TRUE,"High")</f>
        <v>Medium</v>
      </c>
    </row>
    <row r="1122" spans="1:41" hidden="1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 t="str">
        <f t="shared" si="51"/>
        <v>Active</v>
      </c>
      <c r="AK1122">
        <f t="shared" ca="1" si="52"/>
        <v>2017</v>
      </c>
      <c r="AL1122">
        <f t="shared" si="53"/>
        <v>0</v>
      </c>
      <c r="AM1122" t="e" cm="1">
        <f t="array" aca="1" ref="AM1122" ca="1">IF(B1122="Yes",YEAR(TODAY()),BLANK())</f>
        <v>#NAME?</v>
      </c>
      <c r="AN1122" t="str" cm="1">
        <f t="array" ref="AN1122" xml:space="preserve"> _xlfn.IFS(A1122&lt;25,"&lt;25",
A1122&lt;=35,"25-35",
A1122&lt;=45,"36-45",
TRUE,"45+"
)</f>
        <v>36-45</v>
      </c>
      <c r="AO1122" t="str" cm="1">
        <f t="array" ref="AO1122">_xlfn.IFS(S1122&lt;5000,"Low",
S1122&lt;=15000,"Medium",
TRUE,"High")</f>
        <v>Low</v>
      </c>
    </row>
    <row r="1123" spans="1:41" hidden="1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 t="str">
        <f t="shared" si="51"/>
        <v>Active</v>
      </c>
      <c r="AK1123">
        <f t="shared" ca="1" si="52"/>
        <v>2010</v>
      </c>
      <c r="AL1123">
        <f t="shared" si="53"/>
        <v>0</v>
      </c>
      <c r="AM1123" t="e" cm="1">
        <f t="array" aca="1" ref="AM1123" ca="1">IF(B1123="Yes",YEAR(TODAY()),BLANK())</f>
        <v>#NAME?</v>
      </c>
      <c r="AN1123" t="str" cm="1">
        <f t="array" ref="AN1123" xml:space="preserve"> _xlfn.IFS(A1123&lt;25,"&lt;25",
A1123&lt;=35,"25-35",
A1123&lt;=45,"36-45",
TRUE,"45+"
)</f>
        <v>36-45</v>
      </c>
      <c r="AO1123" t="str" cm="1">
        <f t="array" ref="AO1123">_xlfn.IFS(S1123&lt;5000,"Low",
S1123&lt;=15000,"Medium",
TRUE,"High")</f>
        <v>Medium</v>
      </c>
    </row>
    <row r="1124" spans="1:41" hidden="1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 t="str">
        <f t="shared" si="51"/>
        <v>Active</v>
      </c>
      <c r="AK1124">
        <f t="shared" ca="1" si="52"/>
        <v>2015</v>
      </c>
      <c r="AL1124">
        <f t="shared" si="53"/>
        <v>0</v>
      </c>
      <c r="AM1124" t="e" cm="1">
        <f t="array" aca="1" ref="AM1124" ca="1">IF(B1124="Yes",YEAR(TODAY()),BLANK())</f>
        <v>#NAME?</v>
      </c>
      <c r="AN1124" t="str" cm="1">
        <f t="array" ref="AN1124" xml:space="preserve"> _xlfn.IFS(A1124&lt;25,"&lt;25",
A1124&lt;=35,"25-35",
A1124&lt;=45,"36-45",
TRUE,"45+"
)</f>
        <v>25-35</v>
      </c>
      <c r="AO1124" t="str" cm="1">
        <f t="array" ref="AO1124">_xlfn.IFS(S1124&lt;5000,"Low",
S1124&lt;=15000,"Medium",
TRUE,"High")</f>
        <v>Low</v>
      </c>
    </row>
    <row r="1125" spans="1:41" hidden="1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 t="str">
        <f t="shared" si="51"/>
        <v>Active</v>
      </c>
      <c r="AK1125">
        <f t="shared" ca="1" si="52"/>
        <v>2015</v>
      </c>
      <c r="AL1125">
        <f t="shared" si="53"/>
        <v>0</v>
      </c>
      <c r="AM1125" t="e" cm="1">
        <f t="array" aca="1" ref="AM1125" ca="1">IF(B1125="Yes",YEAR(TODAY()),BLANK())</f>
        <v>#NAME?</v>
      </c>
      <c r="AN1125" t="str" cm="1">
        <f t="array" ref="AN1125" xml:space="preserve"> _xlfn.IFS(A1125&lt;25,"&lt;25",
A1125&lt;=35,"25-35",
A1125&lt;=45,"36-45",
TRUE,"45+"
)</f>
        <v>25-35</v>
      </c>
      <c r="AO1125" t="str" cm="1">
        <f t="array" ref="AO1125">_xlfn.IFS(S1125&lt;5000,"Low",
S1125&lt;=15000,"Medium",
TRUE,"High")</f>
        <v>Medium</v>
      </c>
    </row>
    <row r="1126" spans="1:41" hidden="1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 t="str">
        <f t="shared" si="51"/>
        <v>Active</v>
      </c>
      <c r="AK1126">
        <f t="shared" ca="1" si="52"/>
        <v>2014</v>
      </c>
      <c r="AL1126">
        <f t="shared" si="53"/>
        <v>0</v>
      </c>
      <c r="AM1126" t="e" cm="1">
        <f t="array" aca="1" ref="AM1126" ca="1">IF(B1126="Yes",YEAR(TODAY()),BLANK())</f>
        <v>#NAME?</v>
      </c>
      <c r="AN1126" t="str" cm="1">
        <f t="array" ref="AN1126" xml:space="preserve"> _xlfn.IFS(A1126&lt;25,"&lt;25",
A1126&lt;=35,"25-35",
A1126&lt;=45,"36-45",
TRUE,"45+"
)</f>
        <v>36-45</v>
      </c>
      <c r="AO1126" t="str" cm="1">
        <f t="array" ref="AO1126">_xlfn.IFS(S1126&lt;5000,"Low",
S1126&lt;=15000,"Medium",
TRUE,"High")</f>
        <v>Medium</v>
      </c>
    </row>
    <row r="1127" spans="1:41" hidden="1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 t="str">
        <f t="shared" si="51"/>
        <v>Active</v>
      </c>
      <c r="AK1127">
        <f t="shared" ca="1" si="52"/>
        <v>2019</v>
      </c>
      <c r="AL1127">
        <f t="shared" si="53"/>
        <v>0</v>
      </c>
      <c r="AM1127" t="e" cm="1">
        <f t="array" aca="1" ref="AM1127" ca="1">IF(B1127="Yes",YEAR(TODAY()),BLANK())</f>
        <v>#NAME?</v>
      </c>
      <c r="AN1127" t="str" cm="1">
        <f t="array" ref="AN1127" xml:space="preserve"> _xlfn.IFS(A1127&lt;25,"&lt;25",
A1127&lt;=35,"25-35",
A1127&lt;=45,"36-45",
TRUE,"45+"
)</f>
        <v>25-35</v>
      </c>
      <c r="AO1127" t="str" cm="1">
        <f t="array" ref="AO1127">_xlfn.IFS(S1127&lt;5000,"Low",
S1127&lt;=15000,"Medium",
TRUE,"High")</f>
        <v>Medium</v>
      </c>
    </row>
    <row r="1128" spans="1:41" hidden="1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 t="str">
        <f t="shared" si="51"/>
        <v>Active</v>
      </c>
      <c r="AK1128">
        <f t="shared" ca="1" si="52"/>
        <v>1998</v>
      </c>
      <c r="AL1128">
        <f t="shared" si="53"/>
        <v>0</v>
      </c>
      <c r="AM1128" t="e" cm="1">
        <f t="array" aca="1" ref="AM1128" ca="1">IF(B1128="Yes",YEAR(TODAY()),BLANK())</f>
        <v>#NAME?</v>
      </c>
      <c r="AN1128" t="str" cm="1">
        <f t="array" ref="AN1128" xml:space="preserve"> _xlfn.IFS(A1128&lt;25,"&lt;25",
A1128&lt;=35,"25-35",
A1128&lt;=45,"36-45",
TRUE,"45+"
)</f>
        <v>45+</v>
      </c>
      <c r="AO1128" t="str" cm="1">
        <f t="array" ref="AO1128">_xlfn.IFS(S1128&lt;5000,"Low",
S1128&lt;=15000,"Medium",
TRUE,"High")</f>
        <v>High</v>
      </c>
    </row>
    <row r="1129" spans="1:41" hidden="1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 t="str">
        <f t="shared" si="51"/>
        <v>Active</v>
      </c>
      <c r="AK1129">
        <f t="shared" ca="1" si="52"/>
        <v>2021</v>
      </c>
      <c r="AL1129">
        <f t="shared" si="53"/>
        <v>0</v>
      </c>
      <c r="AM1129" t="e" cm="1">
        <f t="array" aca="1" ref="AM1129" ca="1">IF(B1129="Yes",YEAR(TODAY()),BLANK())</f>
        <v>#NAME?</v>
      </c>
      <c r="AN1129" t="str" cm="1">
        <f t="array" ref="AN1129" xml:space="preserve"> _xlfn.IFS(A1129&lt;25,"&lt;25",
A1129&lt;=35,"25-35",
A1129&lt;=45,"36-45",
TRUE,"45+"
)</f>
        <v>&lt;25</v>
      </c>
      <c r="AO1129" t="str" cm="1">
        <f t="array" ref="AO1129">_xlfn.IFS(S1129&lt;5000,"Low",
S1129&lt;=15000,"Medium",
TRUE,"High")</f>
        <v>Low</v>
      </c>
    </row>
    <row r="1130" spans="1:41" hidden="1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 t="str">
        <f t="shared" si="51"/>
        <v>Active</v>
      </c>
      <c r="AK1130">
        <f t="shared" ca="1" si="52"/>
        <v>2016</v>
      </c>
      <c r="AL1130">
        <f t="shared" si="53"/>
        <v>0</v>
      </c>
      <c r="AM1130" t="e" cm="1">
        <f t="array" aca="1" ref="AM1130" ca="1">IF(B1130="Yes",YEAR(TODAY()),BLANK())</f>
        <v>#NAME?</v>
      </c>
      <c r="AN1130" t="str" cm="1">
        <f t="array" ref="AN1130" xml:space="preserve"> _xlfn.IFS(A1130&lt;25,"&lt;25",
A1130&lt;=35,"25-35",
A1130&lt;=45,"36-45",
TRUE,"45+"
)</f>
        <v>36-45</v>
      </c>
      <c r="AO1130" t="str" cm="1">
        <f t="array" ref="AO1130">_xlfn.IFS(S1130&lt;5000,"Low",
S1130&lt;=15000,"Medium",
TRUE,"High")</f>
        <v>Medium</v>
      </c>
    </row>
    <row r="1131" spans="1:41" hidden="1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 t="str">
        <f t="shared" si="51"/>
        <v>Active</v>
      </c>
      <c r="AK1131">
        <f t="shared" ca="1" si="52"/>
        <v>2001</v>
      </c>
      <c r="AL1131">
        <f t="shared" si="53"/>
        <v>0</v>
      </c>
      <c r="AM1131" t="e" cm="1">
        <f t="array" aca="1" ref="AM1131" ca="1">IF(B1131="Yes",YEAR(TODAY()),BLANK())</f>
        <v>#NAME?</v>
      </c>
      <c r="AN1131" t="str" cm="1">
        <f t="array" ref="AN1131" xml:space="preserve"> _xlfn.IFS(A1131&lt;25,"&lt;25",
A1131&lt;=35,"25-35",
A1131&lt;=45,"36-45",
TRUE,"45+"
)</f>
        <v>36-45</v>
      </c>
      <c r="AO1131" t="str" cm="1">
        <f t="array" ref="AO1131">_xlfn.IFS(S1131&lt;5000,"Low",
S1131&lt;=15000,"Medium",
TRUE,"High")</f>
        <v>High</v>
      </c>
    </row>
    <row r="1132" spans="1:41" hidden="1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 t="str">
        <f t="shared" si="51"/>
        <v>Active</v>
      </c>
      <c r="AK1132">
        <f t="shared" ca="1" si="52"/>
        <v>2015</v>
      </c>
      <c r="AL1132">
        <f t="shared" si="53"/>
        <v>0</v>
      </c>
      <c r="AM1132" t="e" cm="1">
        <f t="array" aca="1" ref="AM1132" ca="1">IF(B1132="Yes",YEAR(TODAY()),BLANK())</f>
        <v>#NAME?</v>
      </c>
      <c r="AN1132" t="str" cm="1">
        <f t="array" ref="AN1132" xml:space="preserve"> _xlfn.IFS(A1132&lt;25,"&lt;25",
A1132&lt;=35,"25-35",
A1132&lt;=45,"36-45",
TRUE,"45+"
)</f>
        <v>25-35</v>
      </c>
      <c r="AO1132" t="str" cm="1">
        <f t="array" ref="AO1132">_xlfn.IFS(S1132&lt;5000,"Low",
S1132&lt;=15000,"Medium",
TRUE,"High")</f>
        <v>Low</v>
      </c>
    </row>
    <row r="1133" spans="1:41" hidden="1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 t="str">
        <f t="shared" si="51"/>
        <v>Active</v>
      </c>
      <c r="AK1133">
        <f t="shared" ca="1" si="52"/>
        <v>2017</v>
      </c>
      <c r="AL1133">
        <f t="shared" si="53"/>
        <v>0</v>
      </c>
      <c r="AM1133" t="e" cm="1">
        <f t="array" aca="1" ref="AM1133" ca="1">IF(B1133="Yes",YEAR(TODAY()),BLANK())</f>
        <v>#NAME?</v>
      </c>
      <c r="AN1133" t="str" cm="1">
        <f t="array" ref="AN1133" xml:space="preserve"> _xlfn.IFS(A1133&lt;25,"&lt;25",
A1133&lt;=35,"25-35",
A1133&lt;=45,"36-45",
TRUE,"45+"
)</f>
        <v>25-35</v>
      </c>
      <c r="AO1133" t="str" cm="1">
        <f t="array" ref="AO1133">_xlfn.IFS(S1133&lt;5000,"Low",
S1133&lt;=15000,"Medium",
TRUE,"High")</f>
        <v>Medium</v>
      </c>
    </row>
    <row r="1134" spans="1:41" hidden="1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 t="str">
        <f t="shared" si="51"/>
        <v>Active</v>
      </c>
      <c r="AK1134">
        <f t="shared" ca="1" si="52"/>
        <v>2020</v>
      </c>
      <c r="AL1134">
        <f t="shared" si="53"/>
        <v>0</v>
      </c>
      <c r="AM1134" t="e" cm="1">
        <f t="array" aca="1" ref="AM1134" ca="1">IF(B1134="Yes",YEAR(TODAY()),BLANK())</f>
        <v>#NAME?</v>
      </c>
      <c r="AN1134" t="str" cm="1">
        <f t="array" ref="AN1134" xml:space="preserve"> _xlfn.IFS(A1134&lt;25,"&lt;25",
A1134&lt;=35,"25-35",
A1134&lt;=45,"36-45",
TRUE,"45+"
)</f>
        <v>36-45</v>
      </c>
      <c r="AO1134" t="str" cm="1">
        <f t="array" ref="AO1134">_xlfn.IFS(S1134&lt;5000,"Low",
S1134&lt;=15000,"Medium",
TRUE,"High")</f>
        <v>Low</v>
      </c>
    </row>
    <row r="1135" spans="1:41" hidden="1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 t="str">
        <f t="shared" si="51"/>
        <v>Active</v>
      </c>
      <c r="AK1135">
        <f t="shared" ca="1" si="52"/>
        <v>2017</v>
      </c>
      <c r="AL1135">
        <f t="shared" si="53"/>
        <v>0</v>
      </c>
      <c r="AM1135" t="e" cm="1">
        <f t="array" aca="1" ref="AM1135" ca="1">IF(B1135="Yes",YEAR(TODAY()),BLANK())</f>
        <v>#NAME?</v>
      </c>
      <c r="AN1135" t="str" cm="1">
        <f t="array" ref="AN1135" xml:space="preserve"> _xlfn.IFS(A1135&lt;25,"&lt;25",
A1135&lt;=35,"25-35",
A1135&lt;=45,"36-45",
TRUE,"45+"
)</f>
        <v>36-45</v>
      </c>
      <c r="AO1135" t="str" cm="1">
        <f t="array" ref="AO1135">_xlfn.IFS(S1135&lt;5000,"Low",
S1135&lt;=15000,"Medium",
TRUE,"High")</f>
        <v>Low</v>
      </c>
    </row>
    <row r="1136" spans="1:41" hidden="1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 t="str">
        <f t="shared" si="51"/>
        <v>Active</v>
      </c>
      <c r="AK1136">
        <f t="shared" ca="1" si="52"/>
        <v>2024</v>
      </c>
      <c r="AL1136">
        <f t="shared" si="53"/>
        <v>0</v>
      </c>
      <c r="AM1136" t="e" cm="1">
        <f t="array" aca="1" ref="AM1136" ca="1">IF(B1136="Yes",YEAR(TODAY()),BLANK())</f>
        <v>#NAME?</v>
      </c>
      <c r="AN1136" t="str" cm="1">
        <f t="array" ref="AN1136" xml:space="preserve"> _xlfn.IFS(A1136&lt;25,"&lt;25",
A1136&lt;=35,"25-35",
A1136&lt;=45,"36-45",
TRUE,"45+"
)</f>
        <v>25-35</v>
      </c>
      <c r="AO1136" t="str" cm="1">
        <f t="array" ref="AO1136">_xlfn.IFS(S1136&lt;5000,"Low",
S1136&lt;=15000,"Medium",
TRUE,"High")</f>
        <v>Low</v>
      </c>
    </row>
    <row r="1137" spans="1:41" hidden="1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 t="str">
        <f t="shared" si="51"/>
        <v>Active</v>
      </c>
      <c r="AK1137">
        <f t="shared" ca="1" si="52"/>
        <v>1998</v>
      </c>
      <c r="AL1137">
        <f t="shared" si="53"/>
        <v>0</v>
      </c>
      <c r="AM1137" t="e" cm="1">
        <f t="array" aca="1" ref="AM1137" ca="1">IF(B1137="Yes",YEAR(TODAY()),BLANK())</f>
        <v>#NAME?</v>
      </c>
      <c r="AN1137" t="str" cm="1">
        <f t="array" ref="AN1137" xml:space="preserve"> _xlfn.IFS(A1137&lt;25,"&lt;25",
A1137&lt;=35,"25-35",
A1137&lt;=45,"36-45",
TRUE,"45+"
)</f>
        <v>45+</v>
      </c>
      <c r="AO1137" t="str" cm="1">
        <f t="array" ref="AO1137">_xlfn.IFS(S1137&lt;5000,"Low",
S1137&lt;=15000,"Medium",
TRUE,"High")</f>
        <v>High</v>
      </c>
    </row>
    <row r="1138" spans="1:41" hidden="1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 t="str">
        <f t="shared" si="51"/>
        <v>Resigned</v>
      </c>
      <c r="AK1138">
        <f t="shared" ca="1" si="52"/>
        <v>2024</v>
      </c>
      <c r="AL1138">
        <f t="shared" si="53"/>
        <v>1</v>
      </c>
      <c r="AM1138" cm="1">
        <f t="array" aca="1" ref="AM1138" ca="1">IF(B1138="Yes",YEAR(TODAY()),BLANK())</f>
        <v>2025</v>
      </c>
      <c r="AN1138" t="str" cm="1">
        <f t="array" ref="AN1138" xml:space="preserve"> _xlfn.IFS(A1138&lt;25,"&lt;25",
A1138&lt;=35,"25-35",
A1138&lt;=45,"36-45",
TRUE,"45+"
)</f>
        <v>25-35</v>
      </c>
      <c r="AO1138" t="str" cm="1">
        <f t="array" ref="AO1138">_xlfn.IFS(S1138&lt;5000,"Low",
S1138&lt;=15000,"Medium",
TRUE,"High")</f>
        <v>Low</v>
      </c>
    </row>
    <row r="1139" spans="1:41" hidden="1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 t="str">
        <f t="shared" si="51"/>
        <v>Active</v>
      </c>
      <c r="AK1139">
        <f t="shared" ca="1" si="52"/>
        <v>2021</v>
      </c>
      <c r="AL1139">
        <f t="shared" si="53"/>
        <v>0</v>
      </c>
      <c r="AM1139" t="e" cm="1">
        <f t="array" aca="1" ref="AM1139" ca="1">IF(B1139="Yes",YEAR(TODAY()),BLANK())</f>
        <v>#NAME?</v>
      </c>
      <c r="AN1139" t="str" cm="1">
        <f t="array" ref="AN1139" xml:space="preserve"> _xlfn.IFS(A1139&lt;25,"&lt;25",
A1139&lt;=35,"25-35",
A1139&lt;=45,"36-45",
TRUE,"45+"
)</f>
        <v>&lt;25</v>
      </c>
      <c r="AO1139" t="str" cm="1">
        <f t="array" ref="AO1139">_xlfn.IFS(S1139&lt;5000,"Low",
S1139&lt;=15000,"Medium",
TRUE,"High")</f>
        <v>Low</v>
      </c>
    </row>
    <row r="1140" spans="1:41" hidden="1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 t="str">
        <f t="shared" si="51"/>
        <v>Active</v>
      </c>
      <c r="AK1140">
        <f t="shared" ca="1" si="52"/>
        <v>1993</v>
      </c>
      <c r="AL1140">
        <f t="shared" si="53"/>
        <v>0</v>
      </c>
      <c r="AM1140" t="e" cm="1">
        <f t="array" aca="1" ref="AM1140" ca="1">IF(B1140="Yes",YEAR(TODAY()),BLANK())</f>
        <v>#NAME?</v>
      </c>
      <c r="AN1140" t="str" cm="1">
        <f t="array" ref="AN1140" xml:space="preserve"> _xlfn.IFS(A1140&lt;25,"&lt;25",
A1140&lt;=35,"25-35",
A1140&lt;=45,"36-45",
TRUE,"45+"
)</f>
        <v>45+</v>
      </c>
      <c r="AO1140" t="str" cm="1">
        <f t="array" ref="AO1140">_xlfn.IFS(S1140&lt;5000,"Low",
S1140&lt;=15000,"Medium",
TRUE,"High")</f>
        <v>Medium</v>
      </c>
    </row>
    <row r="1141" spans="1:41" hidden="1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 t="str">
        <f t="shared" si="51"/>
        <v>Active</v>
      </c>
      <c r="AK1141">
        <f t="shared" ca="1" si="52"/>
        <v>2019</v>
      </c>
      <c r="AL1141">
        <f t="shared" si="53"/>
        <v>0</v>
      </c>
      <c r="AM1141" t="e" cm="1">
        <f t="array" aca="1" ref="AM1141" ca="1">IF(B1141="Yes",YEAR(TODAY()),BLANK())</f>
        <v>#NAME?</v>
      </c>
      <c r="AN1141" t="str" cm="1">
        <f t="array" ref="AN1141" xml:space="preserve"> _xlfn.IFS(A1141&lt;25,"&lt;25",
A1141&lt;=35,"25-35",
A1141&lt;=45,"36-45",
TRUE,"45+"
)</f>
        <v>25-35</v>
      </c>
      <c r="AO1141" t="str" cm="1">
        <f t="array" ref="AO1141">_xlfn.IFS(S1141&lt;5000,"Low",
S1141&lt;=15000,"Medium",
TRUE,"High")</f>
        <v>Low</v>
      </c>
    </row>
    <row r="1142" spans="1:41" hidden="1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 t="str">
        <f t="shared" si="51"/>
        <v>Active</v>
      </c>
      <c r="AK1142">
        <f t="shared" ca="1" si="52"/>
        <v>2002</v>
      </c>
      <c r="AL1142">
        <f t="shared" si="53"/>
        <v>0</v>
      </c>
      <c r="AM1142" t="e" cm="1">
        <f t="array" aca="1" ref="AM1142" ca="1">IF(B1142="Yes",YEAR(TODAY()),BLANK())</f>
        <v>#NAME?</v>
      </c>
      <c r="AN1142" t="str" cm="1">
        <f t="array" ref="AN1142" xml:space="preserve"> _xlfn.IFS(A1142&lt;25,"&lt;25",
A1142&lt;=35,"25-35",
A1142&lt;=45,"36-45",
TRUE,"45+"
)</f>
        <v>36-45</v>
      </c>
      <c r="AO1142" t="str" cm="1">
        <f t="array" ref="AO1142">_xlfn.IFS(S1142&lt;5000,"Low",
S1142&lt;=15000,"Medium",
TRUE,"High")</f>
        <v>High</v>
      </c>
    </row>
    <row r="1143" spans="1:41" hidden="1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 t="str">
        <f t="shared" si="51"/>
        <v>Active</v>
      </c>
      <c r="AK1143">
        <f t="shared" ca="1" si="52"/>
        <v>2019</v>
      </c>
      <c r="AL1143">
        <f t="shared" si="53"/>
        <v>0</v>
      </c>
      <c r="AM1143" t="e" cm="1">
        <f t="array" aca="1" ref="AM1143" ca="1">IF(B1143="Yes",YEAR(TODAY()),BLANK())</f>
        <v>#NAME?</v>
      </c>
      <c r="AN1143" t="str" cm="1">
        <f t="array" ref="AN1143" xml:space="preserve"> _xlfn.IFS(A1143&lt;25,"&lt;25",
A1143&lt;=35,"25-35",
A1143&lt;=45,"36-45",
TRUE,"45+"
)</f>
        <v>25-35</v>
      </c>
      <c r="AO1143" t="str" cm="1">
        <f t="array" ref="AO1143">_xlfn.IFS(S1143&lt;5000,"Low",
S1143&lt;=15000,"Medium",
TRUE,"High")</f>
        <v>Low</v>
      </c>
    </row>
    <row r="1144" spans="1:41" hidden="1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 t="str">
        <f t="shared" si="51"/>
        <v>Active</v>
      </c>
      <c r="AK1144">
        <f t="shared" ca="1" si="52"/>
        <v>2015</v>
      </c>
      <c r="AL1144">
        <f t="shared" si="53"/>
        <v>0</v>
      </c>
      <c r="AM1144" t="e" cm="1">
        <f t="array" aca="1" ref="AM1144" ca="1">IF(B1144="Yes",YEAR(TODAY()),BLANK())</f>
        <v>#NAME?</v>
      </c>
      <c r="AN1144" t="str" cm="1">
        <f t="array" ref="AN1144" xml:space="preserve"> _xlfn.IFS(A1144&lt;25,"&lt;25",
A1144&lt;=35,"25-35",
A1144&lt;=45,"36-45",
TRUE,"45+"
)</f>
        <v>36-45</v>
      </c>
      <c r="AO1144" t="str" cm="1">
        <f t="array" ref="AO1144">_xlfn.IFS(S1144&lt;5000,"Low",
S1144&lt;=15000,"Medium",
TRUE,"High")</f>
        <v>Medium</v>
      </c>
    </row>
    <row r="1145" spans="1:41" hidden="1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 t="str">
        <f t="shared" si="51"/>
        <v>Active</v>
      </c>
      <c r="AK1145">
        <f t="shared" ca="1" si="52"/>
        <v>2015</v>
      </c>
      <c r="AL1145">
        <f t="shared" si="53"/>
        <v>0</v>
      </c>
      <c r="AM1145" t="e" cm="1">
        <f t="array" aca="1" ref="AM1145" ca="1">IF(B1145="Yes",YEAR(TODAY()),BLANK())</f>
        <v>#NAME?</v>
      </c>
      <c r="AN1145" t="str" cm="1">
        <f t="array" ref="AN1145" xml:space="preserve"> _xlfn.IFS(A1145&lt;25,"&lt;25",
A1145&lt;=35,"25-35",
A1145&lt;=45,"36-45",
TRUE,"45+"
)</f>
        <v>36-45</v>
      </c>
      <c r="AO1145" t="str" cm="1">
        <f t="array" ref="AO1145">_xlfn.IFS(S1145&lt;5000,"Low",
S1145&lt;=15000,"Medium",
TRUE,"High")</f>
        <v>Low</v>
      </c>
    </row>
    <row r="1146" spans="1:41" hidden="1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 t="str">
        <f t="shared" si="51"/>
        <v>Active</v>
      </c>
      <c r="AK1146">
        <f t="shared" ca="1" si="52"/>
        <v>2015</v>
      </c>
      <c r="AL1146">
        <f t="shared" si="53"/>
        <v>0</v>
      </c>
      <c r="AM1146" t="e" cm="1">
        <f t="array" aca="1" ref="AM1146" ca="1">IF(B1146="Yes",YEAR(TODAY()),BLANK())</f>
        <v>#NAME?</v>
      </c>
      <c r="AN1146" t="str" cm="1">
        <f t="array" ref="AN1146" xml:space="preserve"> _xlfn.IFS(A1146&lt;25,"&lt;25",
A1146&lt;=35,"25-35",
A1146&lt;=45,"36-45",
TRUE,"45+"
)</f>
        <v>25-35</v>
      </c>
      <c r="AO1146" t="str" cm="1">
        <f t="array" ref="AO1146">_xlfn.IFS(S1146&lt;5000,"Low",
S1146&lt;=15000,"Medium",
TRUE,"High")</f>
        <v>Medium</v>
      </c>
    </row>
    <row r="1147" spans="1:41" hidden="1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 t="str">
        <f t="shared" si="51"/>
        <v>Active</v>
      </c>
      <c r="AK1147">
        <f t="shared" ca="1" si="52"/>
        <v>2018</v>
      </c>
      <c r="AL1147">
        <f t="shared" si="53"/>
        <v>0</v>
      </c>
      <c r="AM1147" t="e" cm="1">
        <f t="array" aca="1" ref="AM1147" ca="1">IF(B1147="Yes",YEAR(TODAY()),BLANK())</f>
        <v>#NAME?</v>
      </c>
      <c r="AN1147" t="str" cm="1">
        <f t="array" ref="AN1147" xml:space="preserve"> _xlfn.IFS(A1147&lt;25,"&lt;25",
A1147&lt;=35,"25-35",
A1147&lt;=45,"36-45",
TRUE,"45+"
)</f>
        <v>36-45</v>
      </c>
      <c r="AO1147" t="str" cm="1">
        <f t="array" ref="AO1147">_xlfn.IFS(S1147&lt;5000,"Low",
S1147&lt;=15000,"Medium",
TRUE,"High")</f>
        <v>Low</v>
      </c>
    </row>
    <row r="1148" spans="1:41" hidden="1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 t="str">
        <f t="shared" si="51"/>
        <v>Active</v>
      </c>
      <c r="AK1148">
        <f t="shared" ca="1" si="52"/>
        <v>2016</v>
      </c>
      <c r="AL1148">
        <f t="shared" si="53"/>
        <v>0</v>
      </c>
      <c r="AM1148" t="e" cm="1">
        <f t="array" aca="1" ref="AM1148" ca="1">IF(B1148="Yes",YEAR(TODAY()),BLANK())</f>
        <v>#NAME?</v>
      </c>
      <c r="AN1148" t="str" cm="1">
        <f t="array" ref="AN1148" xml:space="preserve"> _xlfn.IFS(A1148&lt;25,"&lt;25",
A1148&lt;=35,"25-35",
A1148&lt;=45,"36-45",
TRUE,"45+"
)</f>
        <v>25-35</v>
      </c>
      <c r="AO1148" t="str" cm="1">
        <f t="array" ref="AO1148">_xlfn.IFS(S1148&lt;5000,"Low",
S1148&lt;=15000,"Medium",
TRUE,"High")</f>
        <v>Low</v>
      </c>
    </row>
    <row r="1149" spans="1:41" hidden="1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 t="str">
        <f t="shared" si="51"/>
        <v>Active</v>
      </c>
      <c r="AK1149">
        <f t="shared" ca="1" si="52"/>
        <v>2015</v>
      </c>
      <c r="AL1149">
        <f t="shared" si="53"/>
        <v>0</v>
      </c>
      <c r="AM1149" t="e" cm="1">
        <f t="array" aca="1" ref="AM1149" ca="1">IF(B1149="Yes",YEAR(TODAY()),BLANK())</f>
        <v>#NAME?</v>
      </c>
      <c r="AN1149" t="str" cm="1">
        <f t="array" ref="AN1149" xml:space="preserve"> _xlfn.IFS(A1149&lt;25,"&lt;25",
A1149&lt;=35,"25-35",
A1149&lt;=45,"36-45",
TRUE,"45+"
)</f>
        <v>45+</v>
      </c>
      <c r="AO1149" t="str" cm="1">
        <f t="array" ref="AO1149">_xlfn.IFS(S1149&lt;5000,"Low",
S1149&lt;=15000,"Medium",
TRUE,"High")</f>
        <v>Low</v>
      </c>
    </row>
    <row r="1150" spans="1:41" hidden="1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 t="str">
        <f t="shared" si="51"/>
        <v>Active</v>
      </c>
      <c r="AK1150">
        <f t="shared" ca="1" si="52"/>
        <v>2015</v>
      </c>
      <c r="AL1150">
        <f t="shared" si="53"/>
        <v>0</v>
      </c>
      <c r="AM1150" t="e" cm="1">
        <f t="array" aca="1" ref="AM1150" ca="1">IF(B1150="Yes",YEAR(TODAY()),BLANK())</f>
        <v>#NAME?</v>
      </c>
      <c r="AN1150" t="str" cm="1">
        <f t="array" ref="AN1150" xml:space="preserve"> _xlfn.IFS(A1150&lt;25,"&lt;25",
A1150&lt;=35,"25-35",
A1150&lt;=45,"36-45",
TRUE,"45+"
)</f>
        <v>36-45</v>
      </c>
      <c r="AO1150" t="str" cm="1">
        <f t="array" ref="AO1150">_xlfn.IFS(S1150&lt;5000,"Low",
S1150&lt;=15000,"Medium",
TRUE,"High")</f>
        <v>Medium</v>
      </c>
    </row>
    <row r="1151" spans="1:41" hidden="1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 t="str">
        <f t="shared" si="51"/>
        <v>Active</v>
      </c>
      <c r="AK1151">
        <f t="shared" ca="1" si="52"/>
        <v>2018</v>
      </c>
      <c r="AL1151">
        <f t="shared" si="53"/>
        <v>0</v>
      </c>
      <c r="AM1151" t="e" cm="1">
        <f t="array" aca="1" ref="AM1151" ca="1">IF(B1151="Yes",YEAR(TODAY()),BLANK())</f>
        <v>#NAME?</v>
      </c>
      <c r="AN1151" t="str" cm="1">
        <f t="array" ref="AN1151" xml:space="preserve"> _xlfn.IFS(A1151&lt;25,"&lt;25",
A1151&lt;=35,"25-35",
A1151&lt;=45,"36-45",
TRUE,"45+"
)</f>
        <v>25-35</v>
      </c>
      <c r="AO1151" t="str" cm="1">
        <f t="array" ref="AO1151">_xlfn.IFS(S1151&lt;5000,"Low",
S1151&lt;=15000,"Medium",
TRUE,"High")</f>
        <v>Low</v>
      </c>
    </row>
    <row r="1152" spans="1:41" hidden="1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 t="str">
        <f t="shared" si="51"/>
        <v>Active</v>
      </c>
      <c r="AK1152">
        <f t="shared" ca="1" si="52"/>
        <v>2009</v>
      </c>
      <c r="AL1152">
        <f t="shared" si="53"/>
        <v>0</v>
      </c>
      <c r="AM1152" t="e" cm="1">
        <f t="array" aca="1" ref="AM1152" ca="1">IF(B1152="Yes",YEAR(TODAY()),BLANK())</f>
        <v>#NAME?</v>
      </c>
      <c r="AN1152" t="str" cm="1">
        <f t="array" ref="AN1152" xml:space="preserve"> _xlfn.IFS(A1152&lt;25,"&lt;25",
A1152&lt;=35,"25-35",
A1152&lt;=45,"36-45",
TRUE,"45+"
)</f>
        <v>25-35</v>
      </c>
      <c r="AO1152" t="str" cm="1">
        <f t="array" ref="AO1152">_xlfn.IFS(S1152&lt;5000,"Low",
S1152&lt;=15000,"Medium",
TRUE,"High")</f>
        <v>Medium</v>
      </c>
    </row>
    <row r="1153" spans="1:41" hidden="1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 t="str">
        <f t="shared" si="51"/>
        <v>Active</v>
      </c>
      <c r="AK1153">
        <f t="shared" ca="1" si="52"/>
        <v>2019</v>
      </c>
      <c r="AL1153">
        <f t="shared" si="53"/>
        <v>0</v>
      </c>
      <c r="AM1153" t="e" cm="1">
        <f t="array" aca="1" ref="AM1153" ca="1">IF(B1153="Yes",YEAR(TODAY()),BLANK())</f>
        <v>#NAME?</v>
      </c>
      <c r="AN1153" t="str" cm="1">
        <f t="array" ref="AN1153" xml:space="preserve"> _xlfn.IFS(A1153&lt;25,"&lt;25",
A1153&lt;=35,"25-35",
A1153&lt;=45,"36-45",
TRUE,"45+"
)</f>
        <v>25-35</v>
      </c>
      <c r="AO1153" t="str" cm="1">
        <f t="array" ref="AO1153">_xlfn.IFS(S1153&lt;5000,"Low",
S1153&lt;=15000,"Medium",
TRUE,"High")</f>
        <v>Low</v>
      </c>
    </row>
    <row r="1154" spans="1:41" hidden="1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 t="str">
        <f t="shared" si="51"/>
        <v>Active</v>
      </c>
      <c r="AK1154">
        <f t="shared" ca="1" si="52"/>
        <v>2022</v>
      </c>
      <c r="AL1154">
        <f t="shared" si="53"/>
        <v>0</v>
      </c>
      <c r="AM1154" t="e" cm="1">
        <f t="array" aca="1" ref="AM1154" ca="1">IF(B1154="Yes",YEAR(TODAY()),BLANK())</f>
        <v>#NAME?</v>
      </c>
      <c r="AN1154" t="str" cm="1">
        <f t="array" ref="AN1154" xml:space="preserve"> _xlfn.IFS(A1154&lt;25,"&lt;25",
A1154&lt;=35,"25-35",
A1154&lt;=45,"36-45",
TRUE,"45+"
)</f>
        <v>&lt;25</v>
      </c>
      <c r="AO1154" t="str" cm="1">
        <f t="array" ref="AO1154">_xlfn.IFS(S1154&lt;5000,"Low",
S1154&lt;=15000,"Medium",
TRUE,"High")</f>
        <v>Low</v>
      </c>
    </row>
    <row r="1155" spans="1:41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 t="str">
        <f t="shared" ref="AJ1155:AJ1218" si="54">IF(B1155="Yes", "Resigned","Active")</f>
        <v>Resigned</v>
      </c>
      <c r="AK1155">
        <f t="shared" ref="AK1155:AK1218" ca="1" si="55">YEAR(TODAY()) - AC1155</f>
        <v>2025</v>
      </c>
      <c r="AL1155">
        <f t="shared" ref="AL1155:AL1218" si="56">IF(B1155="Yes",1,0)</f>
        <v>1</v>
      </c>
      <c r="AM1155" cm="1">
        <f t="array" aca="1" ref="AM1155" ca="1">IF(B1155="Yes",YEAR(TODAY()),BLANK())</f>
        <v>2025</v>
      </c>
      <c r="AN1155" t="str" cm="1">
        <f t="array" ref="AN1155" xml:space="preserve"> _xlfn.IFS(A1155&lt;25,"&lt;25",
A1155&lt;=35,"25-35",
A1155&lt;=45,"36-45",
TRUE,"45+"
)</f>
        <v>&lt;25</v>
      </c>
      <c r="AO1155" t="str" cm="1">
        <f t="array" ref="AO1155">_xlfn.IFS(S1155&lt;5000,"Low",
S1155&lt;=15000,"Medium",
TRUE,"High")</f>
        <v>Low</v>
      </c>
    </row>
    <row r="1156" spans="1:41" hidden="1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 t="str">
        <f t="shared" si="54"/>
        <v>Active</v>
      </c>
      <c r="AK1156">
        <f t="shared" ca="1" si="55"/>
        <v>1998</v>
      </c>
      <c r="AL1156">
        <f t="shared" si="56"/>
        <v>0</v>
      </c>
      <c r="AM1156" t="e" cm="1">
        <f t="array" aca="1" ref="AM1156" ca="1">IF(B1156="Yes",YEAR(TODAY()),BLANK())</f>
        <v>#NAME?</v>
      </c>
      <c r="AN1156" t="str" cm="1">
        <f t="array" ref="AN1156" xml:space="preserve"> _xlfn.IFS(A1156&lt;25,"&lt;25",
A1156&lt;=35,"25-35",
A1156&lt;=45,"36-45",
TRUE,"45+"
)</f>
        <v>45+</v>
      </c>
      <c r="AO1156" t="str" cm="1">
        <f t="array" ref="AO1156">_xlfn.IFS(S1156&lt;5000,"Low",
S1156&lt;=15000,"Medium",
TRUE,"High")</f>
        <v>High</v>
      </c>
    </row>
    <row r="1157" spans="1:41" hidden="1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 t="str">
        <f t="shared" si="54"/>
        <v>Active</v>
      </c>
      <c r="AK1157">
        <f t="shared" ca="1" si="55"/>
        <v>2014</v>
      </c>
      <c r="AL1157">
        <f t="shared" si="56"/>
        <v>0</v>
      </c>
      <c r="AM1157" t="e" cm="1">
        <f t="array" aca="1" ref="AM1157" ca="1">IF(B1157="Yes",YEAR(TODAY()),BLANK())</f>
        <v>#NAME?</v>
      </c>
      <c r="AN1157" t="str" cm="1">
        <f t="array" ref="AN1157" xml:space="preserve"> _xlfn.IFS(A1157&lt;25,"&lt;25",
A1157&lt;=35,"25-35",
A1157&lt;=45,"36-45",
TRUE,"45+"
)</f>
        <v>36-45</v>
      </c>
      <c r="AO1157" t="str" cm="1">
        <f t="array" ref="AO1157">_xlfn.IFS(S1157&lt;5000,"Low",
S1157&lt;=15000,"Medium",
TRUE,"High")</f>
        <v>Low</v>
      </c>
    </row>
    <row r="1158" spans="1:41" hidden="1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 t="str">
        <f t="shared" si="54"/>
        <v>Active</v>
      </c>
      <c r="AK1158">
        <f t="shared" ca="1" si="55"/>
        <v>2007</v>
      </c>
      <c r="AL1158">
        <f t="shared" si="56"/>
        <v>0</v>
      </c>
      <c r="AM1158" t="e" cm="1">
        <f t="array" aca="1" ref="AM1158" ca="1">IF(B1158="Yes",YEAR(TODAY()),BLANK())</f>
        <v>#NAME?</v>
      </c>
      <c r="AN1158" t="str" cm="1">
        <f t="array" ref="AN1158" xml:space="preserve"> _xlfn.IFS(A1158&lt;25,"&lt;25",
A1158&lt;=35,"25-35",
A1158&lt;=45,"36-45",
TRUE,"45+"
)</f>
        <v>36-45</v>
      </c>
      <c r="AO1158" t="str" cm="1">
        <f t="array" ref="AO1158">_xlfn.IFS(S1158&lt;5000,"Low",
S1158&lt;=15000,"Medium",
TRUE,"High")</f>
        <v>Medium</v>
      </c>
    </row>
    <row r="1159" spans="1:41" hidden="1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 t="str">
        <f t="shared" si="54"/>
        <v>Active</v>
      </c>
      <c r="AK1159">
        <f t="shared" ca="1" si="55"/>
        <v>2010</v>
      </c>
      <c r="AL1159">
        <f t="shared" si="56"/>
        <v>0</v>
      </c>
      <c r="AM1159" t="e" cm="1">
        <f t="array" aca="1" ref="AM1159" ca="1">IF(B1159="Yes",YEAR(TODAY()),BLANK())</f>
        <v>#NAME?</v>
      </c>
      <c r="AN1159" t="str" cm="1">
        <f t="array" ref="AN1159" xml:space="preserve"> _xlfn.IFS(A1159&lt;25,"&lt;25",
A1159&lt;=35,"25-35",
A1159&lt;=45,"36-45",
TRUE,"45+"
)</f>
        <v>25-35</v>
      </c>
      <c r="AO1159" t="str" cm="1">
        <f t="array" ref="AO1159">_xlfn.IFS(S1159&lt;5000,"Low",
S1159&lt;=15000,"Medium",
TRUE,"High")</f>
        <v>Low</v>
      </c>
    </row>
    <row r="1160" spans="1:41" hidden="1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 t="str">
        <f t="shared" si="54"/>
        <v>Active</v>
      </c>
      <c r="AK1160">
        <f t="shared" ca="1" si="55"/>
        <v>2016</v>
      </c>
      <c r="AL1160">
        <f t="shared" si="56"/>
        <v>0</v>
      </c>
      <c r="AM1160" t="e" cm="1">
        <f t="array" aca="1" ref="AM1160" ca="1">IF(B1160="Yes",YEAR(TODAY()),BLANK())</f>
        <v>#NAME?</v>
      </c>
      <c r="AN1160" t="str" cm="1">
        <f t="array" ref="AN1160" xml:space="preserve"> _xlfn.IFS(A1160&lt;25,"&lt;25",
A1160&lt;=35,"25-35",
A1160&lt;=45,"36-45",
TRUE,"45+"
)</f>
        <v>36-45</v>
      </c>
      <c r="AO1160" t="str" cm="1">
        <f t="array" ref="AO1160">_xlfn.IFS(S1160&lt;5000,"Low",
S1160&lt;=15000,"Medium",
TRUE,"High")</f>
        <v>Medium</v>
      </c>
    </row>
    <row r="1161" spans="1:41" hidden="1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 t="str">
        <f t="shared" si="54"/>
        <v>Active</v>
      </c>
      <c r="AK1161">
        <f t="shared" ca="1" si="55"/>
        <v>2015</v>
      </c>
      <c r="AL1161">
        <f t="shared" si="56"/>
        <v>0</v>
      </c>
      <c r="AM1161" t="e" cm="1">
        <f t="array" aca="1" ref="AM1161" ca="1">IF(B1161="Yes",YEAR(TODAY()),BLANK())</f>
        <v>#NAME?</v>
      </c>
      <c r="AN1161" t="str" cm="1">
        <f t="array" ref="AN1161" xml:space="preserve"> _xlfn.IFS(A1161&lt;25,"&lt;25",
A1161&lt;=35,"25-35",
A1161&lt;=45,"36-45",
TRUE,"45+"
)</f>
        <v>36-45</v>
      </c>
      <c r="AO1161" t="str" cm="1">
        <f t="array" ref="AO1161">_xlfn.IFS(S1161&lt;5000,"Low",
S1161&lt;=15000,"Medium",
TRUE,"High")</f>
        <v>Medium</v>
      </c>
    </row>
    <row r="1162" spans="1:41" hidden="1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 t="str">
        <f t="shared" si="54"/>
        <v>Active</v>
      </c>
      <c r="AK1162">
        <f t="shared" ca="1" si="55"/>
        <v>2015</v>
      </c>
      <c r="AL1162">
        <f t="shared" si="56"/>
        <v>0</v>
      </c>
      <c r="AM1162" t="e" cm="1">
        <f t="array" aca="1" ref="AM1162" ca="1">IF(B1162="Yes",YEAR(TODAY()),BLANK())</f>
        <v>#NAME?</v>
      </c>
      <c r="AN1162" t="str" cm="1">
        <f t="array" ref="AN1162" xml:space="preserve"> _xlfn.IFS(A1162&lt;25,"&lt;25",
A1162&lt;=35,"25-35",
A1162&lt;=45,"36-45",
TRUE,"45+"
)</f>
        <v>36-45</v>
      </c>
      <c r="AO1162" t="str" cm="1">
        <f t="array" ref="AO1162">_xlfn.IFS(S1162&lt;5000,"Low",
S1162&lt;=15000,"Medium",
TRUE,"High")</f>
        <v>Medium</v>
      </c>
    </row>
    <row r="1163" spans="1:41" hidden="1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 t="str">
        <f t="shared" si="54"/>
        <v>Active</v>
      </c>
      <c r="AK1163">
        <f t="shared" ca="1" si="55"/>
        <v>2015</v>
      </c>
      <c r="AL1163">
        <f t="shared" si="56"/>
        <v>0</v>
      </c>
      <c r="AM1163" t="e" cm="1">
        <f t="array" aca="1" ref="AM1163" ca="1">IF(B1163="Yes",YEAR(TODAY()),BLANK())</f>
        <v>#NAME?</v>
      </c>
      <c r="AN1163" t="str" cm="1">
        <f t="array" ref="AN1163" xml:space="preserve"> _xlfn.IFS(A1163&lt;25,"&lt;25",
A1163&lt;=35,"25-35",
A1163&lt;=45,"36-45",
TRUE,"45+"
)</f>
        <v>36-45</v>
      </c>
      <c r="AO1163" t="str" cm="1">
        <f t="array" ref="AO1163">_xlfn.IFS(S1163&lt;5000,"Low",
S1163&lt;=15000,"Medium",
TRUE,"High")</f>
        <v>Medium</v>
      </c>
    </row>
    <row r="1164" spans="1:41" hidden="1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 t="str">
        <f t="shared" si="54"/>
        <v>Resigned</v>
      </c>
      <c r="AK1164">
        <f t="shared" ca="1" si="55"/>
        <v>2010</v>
      </c>
      <c r="AL1164">
        <f t="shared" si="56"/>
        <v>1</v>
      </c>
      <c r="AM1164" cm="1">
        <f t="array" aca="1" ref="AM1164" ca="1">IF(B1164="Yes",YEAR(TODAY()),BLANK())</f>
        <v>2025</v>
      </c>
      <c r="AN1164" t="str" cm="1">
        <f t="array" ref="AN1164" xml:space="preserve"> _xlfn.IFS(A1164&lt;25,"&lt;25",
A1164&lt;=35,"25-35",
A1164&lt;=45,"36-45",
TRUE,"45+"
)</f>
        <v>25-35</v>
      </c>
      <c r="AO1164" t="str" cm="1">
        <f t="array" ref="AO1164">_xlfn.IFS(S1164&lt;5000,"Low",
S1164&lt;=15000,"Medium",
TRUE,"High")</f>
        <v>Medium</v>
      </c>
    </row>
    <row r="1165" spans="1:41" hidden="1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 t="str">
        <f t="shared" si="54"/>
        <v>Active</v>
      </c>
      <c r="AK1165">
        <f t="shared" ca="1" si="55"/>
        <v>2017</v>
      </c>
      <c r="AL1165">
        <f t="shared" si="56"/>
        <v>0</v>
      </c>
      <c r="AM1165" t="e" cm="1">
        <f t="array" aca="1" ref="AM1165" ca="1">IF(B1165="Yes",YEAR(TODAY()),BLANK())</f>
        <v>#NAME?</v>
      </c>
      <c r="AN1165" t="str" cm="1">
        <f t="array" ref="AN1165" xml:space="preserve"> _xlfn.IFS(A1165&lt;25,"&lt;25",
A1165&lt;=35,"25-35",
A1165&lt;=45,"36-45",
TRUE,"45+"
)</f>
        <v>36-45</v>
      </c>
      <c r="AO1165" t="str" cm="1">
        <f t="array" ref="AO1165">_xlfn.IFS(S1165&lt;5000,"Low",
S1165&lt;=15000,"Medium",
TRUE,"High")</f>
        <v>Low</v>
      </c>
    </row>
    <row r="1166" spans="1:41" hidden="1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 t="str">
        <f t="shared" si="54"/>
        <v>Active</v>
      </c>
      <c r="AK1166">
        <f t="shared" ca="1" si="55"/>
        <v>2007</v>
      </c>
      <c r="AL1166">
        <f t="shared" si="56"/>
        <v>0</v>
      </c>
      <c r="AM1166" t="e" cm="1">
        <f t="array" aca="1" ref="AM1166" ca="1">IF(B1166="Yes",YEAR(TODAY()),BLANK())</f>
        <v>#NAME?</v>
      </c>
      <c r="AN1166" t="str" cm="1">
        <f t="array" ref="AN1166" xml:space="preserve"> _xlfn.IFS(A1166&lt;25,"&lt;25",
A1166&lt;=35,"25-35",
A1166&lt;=45,"36-45",
TRUE,"45+"
)</f>
        <v>36-45</v>
      </c>
      <c r="AO1166" t="str" cm="1">
        <f t="array" ref="AO1166">_xlfn.IFS(S1166&lt;5000,"Low",
S1166&lt;=15000,"Medium",
TRUE,"High")</f>
        <v>Medium</v>
      </c>
    </row>
    <row r="1167" spans="1:41" hidden="1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 t="str">
        <f t="shared" si="54"/>
        <v>Active</v>
      </c>
      <c r="AK1167">
        <f t="shared" ca="1" si="55"/>
        <v>2011</v>
      </c>
      <c r="AL1167">
        <f t="shared" si="56"/>
        <v>0</v>
      </c>
      <c r="AM1167" t="e" cm="1">
        <f t="array" aca="1" ref="AM1167" ca="1">IF(B1167="Yes",YEAR(TODAY()),BLANK())</f>
        <v>#NAME?</v>
      </c>
      <c r="AN1167" t="str" cm="1">
        <f t="array" ref="AN1167" xml:space="preserve"> _xlfn.IFS(A1167&lt;25,"&lt;25",
A1167&lt;=35,"25-35",
A1167&lt;=45,"36-45",
TRUE,"45+"
)</f>
        <v>36-45</v>
      </c>
      <c r="AO1167" t="str" cm="1">
        <f t="array" ref="AO1167">_xlfn.IFS(S1167&lt;5000,"Low",
S1167&lt;=15000,"Medium",
TRUE,"High")</f>
        <v>Medium</v>
      </c>
    </row>
    <row r="1168" spans="1:41" hidden="1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 t="str">
        <f t="shared" si="54"/>
        <v>Active</v>
      </c>
      <c r="AK1168">
        <f t="shared" ca="1" si="55"/>
        <v>2002</v>
      </c>
      <c r="AL1168">
        <f t="shared" si="56"/>
        <v>0</v>
      </c>
      <c r="AM1168" t="e" cm="1">
        <f t="array" aca="1" ref="AM1168" ca="1">IF(B1168="Yes",YEAR(TODAY()),BLANK())</f>
        <v>#NAME?</v>
      </c>
      <c r="AN1168" t="str" cm="1">
        <f t="array" ref="AN1168" xml:space="preserve"> _xlfn.IFS(A1168&lt;25,"&lt;25",
A1168&lt;=35,"25-35",
A1168&lt;=45,"36-45",
TRUE,"45+"
)</f>
        <v>45+</v>
      </c>
      <c r="AO1168" t="str" cm="1">
        <f t="array" ref="AO1168">_xlfn.IFS(S1168&lt;5000,"Low",
S1168&lt;=15000,"Medium",
TRUE,"High")</f>
        <v>High</v>
      </c>
    </row>
    <row r="1169" spans="1:41" hidden="1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 t="str">
        <f t="shared" si="54"/>
        <v>Resigned</v>
      </c>
      <c r="AK1169">
        <f t="shared" ca="1" si="55"/>
        <v>2018</v>
      </c>
      <c r="AL1169">
        <f t="shared" si="56"/>
        <v>1</v>
      </c>
      <c r="AM1169" cm="1">
        <f t="array" aca="1" ref="AM1169" ca="1">IF(B1169="Yes",YEAR(TODAY()),BLANK())</f>
        <v>2025</v>
      </c>
      <c r="AN1169" t="str" cm="1">
        <f t="array" ref="AN1169" xml:space="preserve"> _xlfn.IFS(A1169&lt;25,"&lt;25",
A1169&lt;=35,"25-35",
A1169&lt;=45,"36-45",
TRUE,"45+"
)</f>
        <v>25-35</v>
      </c>
      <c r="AO1169" t="str" cm="1">
        <f t="array" ref="AO1169">_xlfn.IFS(S1169&lt;5000,"Low",
S1169&lt;=15000,"Medium",
TRUE,"High")</f>
        <v>Medium</v>
      </c>
    </row>
    <row r="1170" spans="1:41" hidden="1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 t="str">
        <f t="shared" si="54"/>
        <v>Active</v>
      </c>
      <c r="AK1170">
        <f t="shared" ca="1" si="55"/>
        <v>2019</v>
      </c>
      <c r="AL1170">
        <f t="shared" si="56"/>
        <v>0</v>
      </c>
      <c r="AM1170" t="e" cm="1">
        <f t="array" aca="1" ref="AM1170" ca="1">IF(B1170="Yes",YEAR(TODAY()),BLANK())</f>
        <v>#NAME?</v>
      </c>
      <c r="AN1170" t="str" cm="1">
        <f t="array" ref="AN1170" xml:space="preserve"> _xlfn.IFS(A1170&lt;25,"&lt;25",
A1170&lt;=35,"25-35",
A1170&lt;=45,"36-45",
TRUE,"45+"
)</f>
        <v>&lt;25</v>
      </c>
      <c r="AO1170" t="str" cm="1">
        <f t="array" ref="AO1170">_xlfn.IFS(S1170&lt;5000,"Low",
S1170&lt;=15000,"Medium",
TRUE,"High")</f>
        <v>Low</v>
      </c>
    </row>
    <row r="1171" spans="1:41" hidden="1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 t="str">
        <f t="shared" si="54"/>
        <v>Active</v>
      </c>
      <c r="AK1171">
        <f t="shared" ca="1" si="55"/>
        <v>2020</v>
      </c>
      <c r="AL1171">
        <f t="shared" si="56"/>
        <v>0</v>
      </c>
      <c r="AM1171" t="e" cm="1">
        <f t="array" aca="1" ref="AM1171" ca="1">IF(B1171="Yes",YEAR(TODAY()),BLANK())</f>
        <v>#NAME?</v>
      </c>
      <c r="AN1171" t="str" cm="1">
        <f t="array" ref="AN1171" xml:space="preserve"> _xlfn.IFS(A1171&lt;25,"&lt;25",
A1171&lt;=35,"25-35",
A1171&lt;=45,"36-45",
TRUE,"45+"
)</f>
        <v>25-35</v>
      </c>
      <c r="AO1171" t="str" cm="1">
        <f t="array" ref="AO1171">_xlfn.IFS(S1171&lt;5000,"Low",
S1171&lt;=15000,"Medium",
TRUE,"High")</f>
        <v>Low</v>
      </c>
    </row>
    <row r="1172" spans="1:41" hidden="1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 t="str">
        <f t="shared" si="54"/>
        <v>Active</v>
      </c>
      <c r="AK1172">
        <f t="shared" ca="1" si="55"/>
        <v>2019</v>
      </c>
      <c r="AL1172">
        <f t="shared" si="56"/>
        <v>0</v>
      </c>
      <c r="AM1172" t="e" cm="1">
        <f t="array" aca="1" ref="AM1172" ca="1">IF(B1172="Yes",YEAR(TODAY()),BLANK())</f>
        <v>#NAME?</v>
      </c>
      <c r="AN1172" t="str" cm="1">
        <f t="array" ref="AN1172" xml:space="preserve"> _xlfn.IFS(A1172&lt;25,"&lt;25",
A1172&lt;=35,"25-35",
A1172&lt;=45,"36-45",
TRUE,"45+"
)</f>
        <v>25-35</v>
      </c>
      <c r="AO1172" t="str" cm="1">
        <f t="array" ref="AO1172">_xlfn.IFS(S1172&lt;5000,"Low",
S1172&lt;=15000,"Medium",
TRUE,"High")</f>
        <v>Low</v>
      </c>
    </row>
    <row r="1173" spans="1:41" hidden="1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 t="str">
        <f t="shared" si="54"/>
        <v>Resigned</v>
      </c>
      <c r="AK1173">
        <f t="shared" ca="1" si="55"/>
        <v>2015</v>
      </c>
      <c r="AL1173">
        <f t="shared" si="56"/>
        <v>1</v>
      </c>
      <c r="AM1173" cm="1">
        <f t="array" aca="1" ref="AM1173" ca="1">IF(B1173="Yes",YEAR(TODAY()),BLANK())</f>
        <v>2025</v>
      </c>
      <c r="AN1173" t="str" cm="1">
        <f t="array" ref="AN1173" xml:space="preserve"> _xlfn.IFS(A1173&lt;25,"&lt;25",
A1173&lt;=35,"25-35",
A1173&lt;=45,"36-45",
TRUE,"45+"
)</f>
        <v>36-45</v>
      </c>
      <c r="AO1173" t="str" cm="1">
        <f t="array" ref="AO1173">_xlfn.IFS(S1173&lt;5000,"Low",
S1173&lt;=15000,"Medium",
TRUE,"High")</f>
        <v>Low</v>
      </c>
    </row>
    <row r="1174" spans="1:41" hidden="1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 t="str">
        <f t="shared" si="54"/>
        <v>Active</v>
      </c>
      <c r="AK1174">
        <f t="shared" ca="1" si="55"/>
        <v>2017</v>
      </c>
      <c r="AL1174">
        <f t="shared" si="56"/>
        <v>0</v>
      </c>
      <c r="AM1174" t="e" cm="1">
        <f t="array" aca="1" ref="AM1174" ca="1">IF(B1174="Yes",YEAR(TODAY()),BLANK())</f>
        <v>#NAME?</v>
      </c>
      <c r="AN1174" t="str" cm="1">
        <f t="array" ref="AN1174" xml:space="preserve"> _xlfn.IFS(A1174&lt;25,"&lt;25",
A1174&lt;=35,"25-35",
A1174&lt;=45,"36-45",
TRUE,"45+"
)</f>
        <v>25-35</v>
      </c>
      <c r="AO1174" t="str" cm="1">
        <f t="array" ref="AO1174">_xlfn.IFS(S1174&lt;5000,"Low",
S1174&lt;=15000,"Medium",
TRUE,"High")</f>
        <v>Medium</v>
      </c>
    </row>
    <row r="1175" spans="1:41" hidden="1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 t="str">
        <f t="shared" si="54"/>
        <v>Active</v>
      </c>
      <c r="AK1175">
        <f t="shared" ca="1" si="55"/>
        <v>2016</v>
      </c>
      <c r="AL1175">
        <f t="shared" si="56"/>
        <v>0</v>
      </c>
      <c r="AM1175" t="e" cm="1">
        <f t="array" aca="1" ref="AM1175" ca="1">IF(B1175="Yes",YEAR(TODAY()),BLANK())</f>
        <v>#NAME?</v>
      </c>
      <c r="AN1175" t="str" cm="1">
        <f t="array" ref="AN1175" xml:space="preserve"> _xlfn.IFS(A1175&lt;25,"&lt;25",
A1175&lt;=35,"25-35",
A1175&lt;=45,"36-45",
TRUE,"45+"
)</f>
        <v>36-45</v>
      </c>
      <c r="AO1175" t="str" cm="1">
        <f t="array" ref="AO1175">_xlfn.IFS(S1175&lt;5000,"Low",
S1175&lt;=15000,"Medium",
TRUE,"High")</f>
        <v>Medium</v>
      </c>
    </row>
    <row r="1176" spans="1:41" hidden="1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 t="str">
        <f t="shared" si="54"/>
        <v>Active</v>
      </c>
      <c r="AK1176">
        <f t="shared" ca="1" si="55"/>
        <v>2018</v>
      </c>
      <c r="AL1176">
        <f t="shared" si="56"/>
        <v>0</v>
      </c>
      <c r="AM1176" t="e" cm="1">
        <f t="array" aca="1" ref="AM1176" ca="1">IF(B1176="Yes",YEAR(TODAY()),BLANK())</f>
        <v>#NAME?</v>
      </c>
      <c r="AN1176" t="str" cm="1">
        <f t="array" ref="AN1176" xml:space="preserve"> _xlfn.IFS(A1176&lt;25,"&lt;25",
A1176&lt;=35,"25-35",
A1176&lt;=45,"36-45",
TRUE,"45+"
)</f>
        <v>25-35</v>
      </c>
      <c r="AO1176" t="str" cm="1">
        <f t="array" ref="AO1176">_xlfn.IFS(S1176&lt;5000,"Low",
S1176&lt;=15000,"Medium",
TRUE,"High")</f>
        <v>Medium</v>
      </c>
    </row>
    <row r="1177" spans="1:41" hidden="1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 t="str">
        <f t="shared" si="54"/>
        <v>Active</v>
      </c>
      <c r="AK1177">
        <f t="shared" ca="1" si="55"/>
        <v>2018</v>
      </c>
      <c r="AL1177">
        <f t="shared" si="56"/>
        <v>0</v>
      </c>
      <c r="AM1177" t="e" cm="1">
        <f t="array" aca="1" ref="AM1177" ca="1">IF(B1177="Yes",YEAR(TODAY()),BLANK())</f>
        <v>#NAME?</v>
      </c>
      <c r="AN1177" t="str" cm="1">
        <f t="array" ref="AN1177" xml:space="preserve"> _xlfn.IFS(A1177&lt;25,"&lt;25",
A1177&lt;=35,"25-35",
A1177&lt;=45,"36-45",
TRUE,"45+"
)</f>
        <v>36-45</v>
      </c>
      <c r="AO1177" t="str" cm="1">
        <f t="array" ref="AO1177">_xlfn.IFS(S1177&lt;5000,"Low",
S1177&lt;=15000,"Medium",
TRUE,"High")</f>
        <v>Medium</v>
      </c>
    </row>
    <row r="1178" spans="1:41" hidden="1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 t="str">
        <f t="shared" si="54"/>
        <v>Active</v>
      </c>
      <c r="AK1178">
        <f t="shared" ca="1" si="55"/>
        <v>1998</v>
      </c>
      <c r="AL1178">
        <f t="shared" si="56"/>
        <v>0</v>
      </c>
      <c r="AM1178" t="e" cm="1">
        <f t="array" aca="1" ref="AM1178" ca="1">IF(B1178="Yes",YEAR(TODAY()),BLANK())</f>
        <v>#NAME?</v>
      </c>
      <c r="AN1178" t="str" cm="1">
        <f t="array" ref="AN1178" xml:space="preserve"> _xlfn.IFS(A1178&lt;25,"&lt;25",
A1178&lt;=35,"25-35",
A1178&lt;=45,"36-45",
TRUE,"45+"
)</f>
        <v>45+</v>
      </c>
      <c r="AO1178" t="str" cm="1">
        <f t="array" ref="AO1178">_xlfn.IFS(S1178&lt;5000,"Low",
S1178&lt;=15000,"Medium",
TRUE,"High")</f>
        <v>High</v>
      </c>
    </row>
    <row r="1179" spans="1:41" hidden="1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 t="str">
        <f t="shared" si="54"/>
        <v>Active</v>
      </c>
      <c r="AK1179">
        <f t="shared" ca="1" si="55"/>
        <v>2006</v>
      </c>
      <c r="AL1179">
        <f t="shared" si="56"/>
        <v>0</v>
      </c>
      <c r="AM1179" t="e" cm="1">
        <f t="array" aca="1" ref="AM1179" ca="1">IF(B1179="Yes",YEAR(TODAY()),BLANK())</f>
        <v>#NAME?</v>
      </c>
      <c r="AN1179" t="str" cm="1">
        <f t="array" ref="AN1179" xml:space="preserve"> _xlfn.IFS(A1179&lt;25,"&lt;25",
A1179&lt;=35,"25-35",
A1179&lt;=45,"36-45",
TRUE,"45+"
)</f>
        <v>45+</v>
      </c>
      <c r="AO1179" t="str" cm="1">
        <f t="array" ref="AO1179">_xlfn.IFS(S1179&lt;5000,"Low",
S1179&lt;=15000,"Medium",
TRUE,"High")</f>
        <v>Medium</v>
      </c>
    </row>
    <row r="1180" spans="1:41" hidden="1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 t="str">
        <f t="shared" si="54"/>
        <v>Active</v>
      </c>
      <c r="AK1180">
        <f t="shared" ca="1" si="55"/>
        <v>2023</v>
      </c>
      <c r="AL1180">
        <f t="shared" si="56"/>
        <v>0</v>
      </c>
      <c r="AM1180" t="e" cm="1">
        <f t="array" aca="1" ref="AM1180" ca="1">IF(B1180="Yes",YEAR(TODAY()),BLANK())</f>
        <v>#NAME?</v>
      </c>
      <c r="AN1180" t="str" cm="1">
        <f t="array" ref="AN1180" xml:space="preserve"> _xlfn.IFS(A1180&lt;25,"&lt;25",
A1180&lt;=35,"25-35",
A1180&lt;=45,"36-45",
TRUE,"45+"
)</f>
        <v>&lt;25</v>
      </c>
      <c r="AO1180" t="str" cm="1">
        <f t="array" ref="AO1180">_xlfn.IFS(S1180&lt;5000,"Low",
S1180&lt;=15000,"Medium",
TRUE,"High")</f>
        <v>Low</v>
      </c>
    </row>
    <row r="1181" spans="1:41" hidden="1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 t="str">
        <f t="shared" si="54"/>
        <v>Active</v>
      </c>
      <c r="AK1181">
        <f t="shared" ca="1" si="55"/>
        <v>2014</v>
      </c>
      <c r="AL1181">
        <f t="shared" si="56"/>
        <v>0</v>
      </c>
      <c r="AM1181" t="e" cm="1">
        <f t="array" aca="1" ref="AM1181" ca="1">IF(B1181="Yes",YEAR(TODAY()),BLANK())</f>
        <v>#NAME?</v>
      </c>
      <c r="AN1181" t="str" cm="1">
        <f t="array" ref="AN1181" xml:space="preserve"> _xlfn.IFS(A1181&lt;25,"&lt;25",
A1181&lt;=35,"25-35",
A1181&lt;=45,"36-45",
TRUE,"45+"
)</f>
        <v>25-35</v>
      </c>
      <c r="AO1181" t="str" cm="1">
        <f t="array" ref="AO1181">_xlfn.IFS(S1181&lt;5000,"Low",
S1181&lt;=15000,"Medium",
TRUE,"High")</f>
        <v>Medium</v>
      </c>
    </row>
    <row r="1182" spans="1:41" hidden="1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 t="str">
        <f t="shared" si="54"/>
        <v>Active</v>
      </c>
      <c r="AK1182">
        <f t="shared" ca="1" si="55"/>
        <v>2010</v>
      </c>
      <c r="AL1182">
        <f t="shared" si="56"/>
        <v>0</v>
      </c>
      <c r="AM1182" t="e" cm="1">
        <f t="array" aca="1" ref="AM1182" ca="1">IF(B1182="Yes",YEAR(TODAY()),BLANK())</f>
        <v>#NAME?</v>
      </c>
      <c r="AN1182" t="str" cm="1">
        <f t="array" ref="AN1182" xml:space="preserve"> _xlfn.IFS(A1182&lt;25,"&lt;25",
A1182&lt;=35,"25-35",
A1182&lt;=45,"36-45",
TRUE,"45+"
)</f>
        <v>36-45</v>
      </c>
      <c r="AO1182" t="str" cm="1">
        <f t="array" ref="AO1182">_xlfn.IFS(S1182&lt;5000,"Low",
S1182&lt;=15000,"Medium",
TRUE,"High")</f>
        <v>Low</v>
      </c>
    </row>
    <row r="1183" spans="1:41" hidden="1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 t="str">
        <f t="shared" si="54"/>
        <v>Active</v>
      </c>
      <c r="AK1183">
        <f t="shared" ca="1" si="55"/>
        <v>1995</v>
      </c>
      <c r="AL1183">
        <f t="shared" si="56"/>
        <v>0</v>
      </c>
      <c r="AM1183" t="e" cm="1">
        <f t="array" aca="1" ref="AM1183" ca="1">IF(B1183="Yes",YEAR(TODAY()),BLANK())</f>
        <v>#NAME?</v>
      </c>
      <c r="AN1183" t="str" cm="1">
        <f t="array" ref="AN1183" xml:space="preserve"> _xlfn.IFS(A1183&lt;25,"&lt;25",
A1183&lt;=35,"25-35",
A1183&lt;=45,"36-45",
TRUE,"45+"
)</f>
        <v>45+</v>
      </c>
      <c r="AO1183" t="str" cm="1">
        <f t="array" ref="AO1183">_xlfn.IFS(S1183&lt;5000,"Low",
S1183&lt;=15000,"Medium",
TRUE,"High")</f>
        <v>Medium</v>
      </c>
    </row>
    <row r="1184" spans="1:41" hidden="1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 t="str">
        <f t="shared" si="54"/>
        <v>Active</v>
      </c>
      <c r="AK1184">
        <f t="shared" ca="1" si="55"/>
        <v>2021</v>
      </c>
      <c r="AL1184">
        <f t="shared" si="56"/>
        <v>0</v>
      </c>
      <c r="AM1184" t="e" cm="1">
        <f t="array" aca="1" ref="AM1184" ca="1">IF(B1184="Yes",YEAR(TODAY()),BLANK())</f>
        <v>#NAME?</v>
      </c>
      <c r="AN1184" t="str" cm="1">
        <f t="array" ref="AN1184" xml:space="preserve"> _xlfn.IFS(A1184&lt;25,"&lt;25",
A1184&lt;=35,"25-35",
A1184&lt;=45,"36-45",
TRUE,"45+"
)</f>
        <v>36-45</v>
      </c>
      <c r="AO1184" t="str" cm="1">
        <f t="array" ref="AO1184">_xlfn.IFS(S1184&lt;5000,"Low",
S1184&lt;=15000,"Medium",
TRUE,"High")</f>
        <v>Low</v>
      </c>
    </row>
    <row r="1185" spans="1:41" hidden="1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 t="str">
        <f t="shared" si="54"/>
        <v>Active</v>
      </c>
      <c r="AK1185">
        <f t="shared" ca="1" si="55"/>
        <v>2012</v>
      </c>
      <c r="AL1185">
        <f t="shared" si="56"/>
        <v>0</v>
      </c>
      <c r="AM1185" t="e" cm="1">
        <f t="array" aca="1" ref="AM1185" ca="1">IF(B1185="Yes",YEAR(TODAY()),BLANK())</f>
        <v>#NAME?</v>
      </c>
      <c r="AN1185" t="str" cm="1">
        <f t="array" ref="AN1185" xml:space="preserve"> _xlfn.IFS(A1185&lt;25,"&lt;25",
A1185&lt;=35,"25-35",
A1185&lt;=45,"36-45",
TRUE,"45+"
)</f>
        <v>36-45</v>
      </c>
      <c r="AO1185" t="str" cm="1">
        <f t="array" ref="AO1185">_xlfn.IFS(S1185&lt;5000,"Low",
S1185&lt;=15000,"Medium",
TRUE,"High")</f>
        <v>Medium</v>
      </c>
    </row>
    <row r="1186" spans="1:41" hidden="1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 t="str">
        <f t="shared" si="54"/>
        <v>Active</v>
      </c>
      <c r="AK1186">
        <f t="shared" ca="1" si="55"/>
        <v>1989</v>
      </c>
      <c r="AL1186">
        <f t="shared" si="56"/>
        <v>0</v>
      </c>
      <c r="AM1186" t="e" cm="1">
        <f t="array" aca="1" ref="AM1186" ca="1">IF(B1186="Yes",YEAR(TODAY()),BLANK())</f>
        <v>#NAME?</v>
      </c>
      <c r="AN1186" t="str" cm="1">
        <f t="array" ref="AN1186" xml:space="preserve"> _xlfn.IFS(A1186&lt;25,"&lt;25",
A1186&lt;=35,"25-35",
A1186&lt;=45,"36-45",
TRUE,"45+"
)</f>
        <v>45+</v>
      </c>
      <c r="AO1186" t="str" cm="1">
        <f t="array" ref="AO1186">_xlfn.IFS(S1186&lt;5000,"Low",
S1186&lt;=15000,"Medium",
TRUE,"High")</f>
        <v>High</v>
      </c>
    </row>
    <row r="1187" spans="1:41" hidden="1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 t="str">
        <f t="shared" si="54"/>
        <v>Active</v>
      </c>
      <c r="AK1187">
        <f t="shared" ca="1" si="55"/>
        <v>2011</v>
      </c>
      <c r="AL1187">
        <f t="shared" si="56"/>
        <v>0</v>
      </c>
      <c r="AM1187" t="e" cm="1">
        <f t="array" aca="1" ref="AM1187" ca="1">IF(B1187="Yes",YEAR(TODAY()),BLANK())</f>
        <v>#NAME?</v>
      </c>
      <c r="AN1187" t="str" cm="1">
        <f t="array" ref="AN1187" xml:space="preserve"> _xlfn.IFS(A1187&lt;25,"&lt;25",
A1187&lt;=35,"25-35",
A1187&lt;=45,"36-45",
TRUE,"45+"
)</f>
        <v>36-45</v>
      </c>
      <c r="AO1187" t="str" cm="1">
        <f t="array" ref="AO1187">_xlfn.IFS(S1187&lt;5000,"Low",
S1187&lt;=15000,"Medium",
TRUE,"High")</f>
        <v>High</v>
      </c>
    </row>
    <row r="1188" spans="1:41" hidden="1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 t="str">
        <f t="shared" si="54"/>
        <v>Resigned</v>
      </c>
      <c r="AK1188">
        <f t="shared" ca="1" si="55"/>
        <v>2012</v>
      </c>
      <c r="AL1188">
        <f t="shared" si="56"/>
        <v>1</v>
      </c>
      <c r="AM1188" cm="1">
        <f t="array" aca="1" ref="AM1188" ca="1">IF(B1188="Yes",YEAR(TODAY()),BLANK())</f>
        <v>2025</v>
      </c>
      <c r="AN1188" t="str" cm="1">
        <f t="array" ref="AN1188" xml:space="preserve"> _xlfn.IFS(A1188&lt;25,"&lt;25",
A1188&lt;=35,"25-35",
A1188&lt;=45,"36-45",
TRUE,"45+"
)</f>
        <v>25-35</v>
      </c>
      <c r="AO1188" t="str" cm="1">
        <f t="array" ref="AO1188">_xlfn.IFS(S1188&lt;5000,"Low",
S1188&lt;=15000,"Medium",
TRUE,"High")</f>
        <v>Low</v>
      </c>
    </row>
    <row r="1189" spans="1:41" hidden="1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 t="str">
        <f t="shared" si="54"/>
        <v>Active</v>
      </c>
      <c r="AK1189">
        <f t="shared" ca="1" si="55"/>
        <v>2006</v>
      </c>
      <c r="AL1189">
        <f t="shared" si="56"/>
        <v>0</v>
      </c>
      <c r="AM1189" t="e" cm="1">
        <f t="array" aca="1" ref="AM1189" ca="1">IF(B1189="Yes",YEAR(TODAY()),BLANK())</f>
        <v>#NAME?</v>
      </c>
      <c r="AN1189" t="str" cm="1">
        <f t="array" ref="AN1189" xml:space="preserve"> _xlfn.IFS(A1189&lt;25,"&lt;25",
A1189&lt;=35,"25-35",
A1189&lt;=45,"36-45",
TRUE,"45+"
)</f>
        <v>36-45</v>
      </c>
      <c r="AO1189" t="str" cm="1">
        <f t="array" ref="AO1189">_xlfn.IFS(S1189&lt;5000,"Low",
S1189&lt;=15000,"Medium",
TRUE,"High")</f>
        <v>Low</v>
      </c>
    </row>
    <row r="1190" spans="1:41" hidden="1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 t="str">
        <f t="shared" si="54"/>
        <v>Active</v>
      </c>
      <c r="AK1190">
        <f t="shared" ca="1" si="55"/>
        <v>2015</v>
      </c>
      <c r="AL1190">
        <f t="shared" si="56"/>
        <v>0</v>
      </c>
      <c r="AM1190" t="e" cm="1">
        <f t="array" aca="1" ref="AM1190" ca="1">IF(B1190="Yes",YEAR(TODAY()),BLANK())</f>
        <v>#NAME?</v>
      </c>
      <c r="AN1190" t="str" cm="1">
        <f t="array" ref="AN1190" xml:space="preserve"> _xlfn.IFS(A1190&lt;25,"&lt;25",
A1190&lt;=35,"25-35",
A1190&lt;=45,"36-45",
TRUE,"45+"
)</f>
        <v>25-35</v>
      </c>
      <c r="AO1190" t="str" cm="1">
        <f t="array" ref="AO1190">_xlfn.IFS(S1190&lt;5000,"Low",
S1190&lt;=15000,"Medium",
TRUE,"High")</f>
        <v>Low</v>
      </c>
    </row>
    <row r="1191" spans="1:41" hidden="1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 t="str">
        <f t="shared" si="54"/>
        <v>Active</v>
      </c>
      <c r="AK1191">
        <f t="shared" ca="1" si="55"/>
        <v>2019</v>
      </c>
      <c r="AL1191">
        <f t="shared" si="56"/>
        <v>0</v>
      </c>
      <c r="AM1191" t="e" cm="1">
        <f t="array" aca="1" ref="AM1191" ca="1">IF(B1191="Yes",YEAR(TODAY()),BLANK())</f>
        <v>#NAME?</v>
      </c>
      <c r="AN1191" t="str" cm="1">
        <f t="array" ref="AN1191" xml:space="preserve"> _xlfn.IFS(A1191&lt;25,"&lt;25",
A1191&lt;=35,"25-35",
A1191&lt;=45,"36-45",
TRUE,"45+"
)</f>
        <v>25-35</v>
      </c>
      <c r="AO1191" t="str" cm="1">
        <f t="array" ref="AO1191">_xlfn.IFS(S1191&lt;5000,"Low",
S1191&lt;=15000,"Medium",
TRUE,"High")</f>
        <v>Medium</v>
      </c>
    </row>
    <row r="1192" spans="1:41" hidden="1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 t="str">
        <f t="shared" si="54"/>
        <v>Active</v>
      </c>
      <c r="AK1192">
        <f t="shared" ca="1" si="55"/>
        <v>2015</v>
      </c>
      <c r="AL1192">
        <f t="shared" si="56"/>
        <v>0</v>
      </c>
      <c r="AM1192" t="e" cm="1">
        <f t="array" aca="1" ref="AM1192" ca="1">IF(B1192="Yes",YEAR(TODAY()),BLANK())</f>
        <v>#NAME?</v>
      </c>
      <c r="AN1192" t="str" cm="1">
        <f t="array" ref="AN1192" xml:space="preserve"> _xlfn.IFS(A1192&lt;25,"&lt;25",
A1192&lt;=35,"25-35",
A1192&lt;=45,"36-45",
TRUE,"45+"
)</f>
        <v>25-35</v>
      </c>
      <c r="AO1192" t="str" cm="1">
        <f t="array" ref="AO1192">_xlfn.IFS(S1192&lt;5000,"Low",
S1192&lt;=15000,"Medium",
TRUE,"High")</f>
        <v>Medium</v>
      </c>
    </row>
    <row r="1193" spans="1:41" hidden="1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 t="str">
        <f t="shared" si="54"/>
        <v>Active</v>
      </c>
      <c r="AK1193">
        <f t="shared" ca="1" si="55"/>
        <v>2015</v>
      </c>
      <c r="AL1193">
        <f t="shared" si="56"/>
        <v>0</v>
      </c>
      <c r="AM1193" t="e" cm="1">
        <f t="array" aca="1" ref="AM1193" ca="1">IF(B1193="Yes",YEAR(TODAY()),BLANK())</f>
        <v>#NAME?</v>
      </c>
      <c r="AN1193" t="str" cm="1">
        <f t="array" ref="AN1193" xml:space="preserve"> _xlfn.IFS(A1193&lt;25,"&lt;25",
A1193&lt;=35,"25-35",
A1193&lt;=45,"36-45",
TRUE,"45+"
)</f>
        <v>25-35</v>
      </c>
      <c r="AO1193" t="str" cm="1">
        <f t="array" ref="AO1193">_xlfn.IFS(S1193&lt;5000,"Low",
S1193&lt;=15000,"Medium",
TRUE,"High")</f>
        <v>Medium</v>
      </c>
    </row>
    <row r="1194" spans="1:41" hidden="1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 t="str">
        <f t="shared" si="54"/>
        <v>Active</v>
      </c>
      <c r="AK1194">
        <f t="shared" ca="1" si="55"/>
        <v>2008</v>
      </c>
      <c r="AL1194">
        <f t="shared" si="56"/>
        <v>0</v>
      </c>
      <c r="AM1194" t="e" cm="1">
        <f t="array" aca="1" ref="AM1194" ca="1">IF(B1194="Yes",YEAR(TODAY()),BLANK())</f>
        <v>#NAME?</v>
      </c>
      <c r="AN1194" t="str" cm="1">
        <f t="array" ref="AN1194" xml:space="preserve"> _xlfn.IFS(A1194&lt;25,"&lt;25",
A1194&lt;=35,"25-35",
A1194&lt;=45,"36-45",
TRUE,"45+"
)</f>
        <v>45+</v>
      </c>
      <c r="AO1194" t="str" cm="1">
        <f t="array" ref="AO1194">_xlfn.IFS(S1194&lt;5000,"Low",
S1194&lt;=15000,"Medium",
TRUE,"High")</f>
        <v>Low</v>
      </c>
    </row>
    <row r="1195" spans="1:41" hidden="1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 t="str">
        <f t="shared" si="54"/>
        <v>Active</v>
      </c>
      <c r="AK1195">
        <f t="shared" ca="1" si="55"/>
        <v>2021</v>
      </c>
      <c r="AL1195">
        <f t="shared" si="56"/>
        <v>0</v>
      </c>
      <c r="AM1195" t="e" cm="1">
        <f t="array" aca="1" ref="AM1195" ca="1">IF(B1195="Yes",YEAR(TODAY()),BLANK())</f>
        <v>#NAME?</v>
      </c>
      <c r="AN1195" t="str" cm="1">
        <f t="array" ref="AN1195" xml:space="preserve"> _xlfn.IFS(A1195&lt;25,"&lt;25",
A1195&lt;=35,"25-35",
A1195&lt;=45,"36-45",
TRUE,"45+"
)</f>
        <v>36-45</v>
      </c>
      <c r="AO1195" t="str" cm="1">
        <f t="array" ref="AO1195">_xlfn.IFS(S1195&lt;5000,"Low",
S1195&lt;=15000,"Medium",
TRUE,"High")</f>
        <v>Low</v>
      </c>
    </row>
    <row r="1196" spans="1:41" hidden="1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 t="str">
        <f t="shared" si="54"/>
        <v>Active</v>
      </c>
      <c r="AK1196">
        <f t="shared" ca="1" si="55"/>
        <v>1996</v>
      </c>
      <c r="AL1196">
        <f t="shared" si="56"/>
        <v>0</v>
      </c>
      <c r="AM1196" t="e" cm="1">
        <f t="array" aca="1" ref="AM1196" ca="1">IF(B1196="Yes",YEAR(TODAY()),BLANK())</f>
        <v>#NAME?</v>
      </c>
      <c r="AN1196" t="str" cm="1">
        <f t="array" ref="AN1196" xml:space="preserve"> _xlfn.IFS(A1196&lt;25,"&lt;25",
A1196&lt;=35,"25-35",
A1196&lt;=45,"36-45",
TRUE,"45+"
)</f>
        <v>45+</v>
      </c>
      <c r="AO1196" t="str" cm="1">
        <f t="array" ref="AO1196">_xlfn.IFS(S1196&lt;5000,"Low",
S1196&lt;=15000,"Medium",
TRUE,"High")</f>
        <v>High</v>
      </c>
    </row>
    <row r="1197" spans="1:41" hidden="1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 t="str">
        <f t="shared" si="54"/>
        <v>Active</v>
      </c>
      <c r="AK1197">
        <f t="shared" ca="1" si="55"/>
        <v>2002</v>
      </c>
      <c r="AL1197">
        <f t="shared" si="56"/>
        <v>0</v>
      </c>
      <c r="AM1197" t="e" cm="1">
        <f t="array" aca="1" ref="AM1197" ca="1">IF(B1197="Yes",YEAR(TODAY()),BLANK())</f>
        <v>#NAME?</v>
      </c>
      <c r="AN1197" t="str" cm="1">
        <f t="array" ref="AN1197" xml:space="preserve"> _xlfn.IFS(A1197&lt;25,"&lt;25",
A1197&lt;=35,"25-35",
A1197&lt;=45,"36-45",
TRUE,"45+"
)</f>
        <v>45+</v>
      </c>
      <c r="AO1197" t="str" cm="1">
        <f t="array" ref="AO1197">_xlfn.IFS(S1197&lt;5000,"Low",
S1197&lt;=15000,"Medium",
TRUE,"High")</f>
        <v>High</v>
      </c>
    </row>
    <row r="1198" spans="1:41" hidden="1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 t="str">
        <f t="shared" si="54"/>
        <v>Active</v>
      </c>
      <c r="AK1198">
        <f t="shared" ca="1" si="55"/>
        <v>2004</v>
      </c>
      <c r="AL1198">
        <f t="shared" si="56"/>
        <v>0</v>
      </c>
      <c r="AM1198" t="e" cm="1">
        <f t="array" aca="1" ref="AM1198" ca="1">IF(B1198="Yes",YEAR(TODAY()),BLANK())</f>
        <v>#NAME?</v>
      </c>
      <c r="AN1198" t="str" cm="1">
        <f t="array" ref="AN1198" xml:space="preserve"> _xlfn.IFS(A1198&lt;25,"&lt;25",
A1198&lt;=35,"25-35",
A1198&lt;=45,"36-45",
TRUE,"45+"
)</f>
        <v>36-45</v>
      </c>
      <c r="AO1198" t="str" cm="1">
        <f t="array" ref="AO1198">_xlfn.IFS(S1198&lt;5000,"Low",
S1198&lt;=15000,"Medium",
TRUE,"High")</f>
        <v>Medium</v>
      </c>
    </row>
    <row r="1199" spans="1:41" hidden="1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 t="str">
        <f t="shared" si="54"/>
        <v>Active</v>
      </c>
      <c r="AK1199">
        <f t="shared" ca="1" si="55"/>
        <v>2023</v>
      </c>
      <c r="AL1199">
        <f t="shared" si="56"/>
        <v>0</v>
      </c>
      <c r="AM1199" t="e" cm="1">
        <f t="array" aca="1" ref="AM1199" ca="1">IF(B1199="Yes",YEAR(TODAY()),BLANK())</f>
        <v>#NAME?</v>
      </c>
      <c r="AN1199" t="str" cm="1">
        <f t="array" ref="AN1199" xml:space="preserve"> _xlfn.IFS(A1199&lt;25,"&lt;25",
A1199&lt;=35,"25-35",
A1199&lt;=45,"36-45",
TRUE,"45+"
)</f>
        <v>&lt;25</v>
      </c>
      <c r="AO1199" t="str" cm="1">
        <f t="array" ref="AO1199">_xlfn.IFS(S1199&lt;5000,"Low",
S1199&lt;=15000,"Medium",
TRUE,"High")</f>
        <v>Low</v>
      </c>
    </row>
    <row r="1200" spans="1:41" hidden="1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 t="str">
        <f t="shared" si="54"/>
        <v>Active</v>
      </c>
      <c r="AK1200">
        <f t="shared" ca="1" si="55"/>
        <v>2018</v>
      </c>
      <c r="AL1200">
        <f t="shared" si="56"/>
        <v>0</v>
      </c>
      <c r="AM1200" t="e" cm="1">
        <f t="array" aca="1" ref="AM1200" ca="1">IF(B1200="Yes",YEAR(TODAY()),BLANK())</f>
        <v>#NAME?</v>
      </c>
      <c r="AN1200" t="str" cm="1">
        <f t="array" ref="AN1200" xml:space="preserve"> _xlfn.IFS(A1200&lt;25,"&lt;25",
A1200&lt;=35,"25-35",
A1200&lt;=45,"36-45",
TRUE,"45+"
)</f>
        <v>25-35</v>
      </c>
      <c r="AO1200" t="str" cm="1">
        <f t="array" ref="AO1200">_xlfn.IFS(S1200&lt;5000,"Low",
S1200&lt;=15000,"Medium",
TRUE,"High")</f>
        <v>Medium</v>
      </c>
    </row>
    <row r="1201" spans="1:41" hidden="1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 t="str">
        <f t="shared" si="54"/>
        <v>Active</v>
      </c>
      <c r="AK1201">
        <f t="shared" ca="1" si="55"/>
        <v>2015</v>
      </c>
      <c r="AL1201">
        <f t="shared" si="56"/>
        <v>0</v>
      </c>
      <c r="AM1201" t="e" cm="1">
        <f t="array" aca="1" ref="AM1201" ca="1">IF(B1201="Yes",YEAR(TODAY()),BLANK())</f>
        <v>#NAME?</v>
      </c>
      <c r="AN1201" t="str" cm="1">
        <f t="array" ref="AN1201" xml:space="preserve"> _xlfn.IFS(A1201&lt;25,"&lt;25",
A1201&lt;=35,"25-35",
A1201&lt;=45,"36-45",
TRUE,"45+"
)</f>
        <v>36-45</v>
      </c>
      <c r="AO1201" t="str" cm="1">
        <f t="array" ref="AO1201">_xlfn.IFS(S1201&lt;5000,"Low",
S1201&lt;=15000,"Medium",
TRUE,"High")</f>
        <v>Medium</v>
      </c>
    </row>
    <row r="1202" spans="1:41" hidden="1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 t="str">
        <f t="shared" si="54"/>
        <v>Active</v>
      </c>
      <c r="AK1202">
        <f t="shared" ca="1" si="55"/>
        <v>2017</v>
      </c>
      <c r="AL1202">
        <f t="shared" si="56"/>
        <v>0</v>
      </c>
      <c r="AM1202" t="e" cm="1">
        <f t="array" aca="1" ref="AM1202" ca="1">IF(B1202="Yes",YEAR(TODAY()),BLANK())</f>
        <v>#NAME?</v>
      </c>
      <c r="AN1202" t="str" cm="1">
        <f t="array" ref="AN1202" xml:space="preserve"> _xlfn.IFS(A1202&lt;25,"&lt;25",
A1202&lt;=35,"25-35",
A1202&lt;=45,"36-45",
TRUE,"45+"
)</f>
        <v>36-45</v>
      </c>
      <c r="AO1202" t="str" cm="1">
        <f t="array" ref="AO1202">_xlfn.IFS(S1202&lt;5000,"Low",
S1202&lt;=15000,"Medium",
TRUE,"High")</f>
        <v>Low</v>
      </c>
    </row>
    <row r="1203" spans="1:41" hidden="1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 t="str">
        <f t="shared" si="54"/>
        <v>Resigned</v>
      </c>
      <c r="AK1203">
        <f t="shared" ca="1" si="55"/>
        <v>2020</v>
      </c>
      <c r="AL1203">
        <f t="shared" si="56"/>
        <v>1</v>
      </c>
      <c r="AM1203" cm="1">
        <f t="array" aca="1" ref="AM1203" ca="1">IF(B1203="Yes",YEAR(TODAY()),BLANK())</f>
        <v>2025</v>
      </c>
      <c r="AN1203" t="str" cm="1">
        <f t="array" ref="AN1203" xml:space="preserve"> _xlfn.IFS(A1203&lt;25,"&lt;25",
A1203&lt;=35,"25-35",
A1203&lt;=45,"36-45",
TRUE,"45+"
)</f>
        <v>&lt;25</v>
      </c>
      <c r="AO1203" t="str" cm="1">
        <f t="array" ref="AO1203">_xlfn.IFS(S1203&lt;5000,"Low",
S1203&lt;=15000,"Medium",
TRUE,"High")</f>
        <v>Low</v>
      </c>
    </row>
    <row r="1204" spans="1:41" hidden="1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 t="str">
        <f t="shared" si="54"/>
        <v>Active</v>
      </c>
      <c r="AK1204">
        <f t="shared" ca="1" si="55"/>
        <v>2018</v>
      </c>
      <c r="AL1204">
        <f t="shared" si="56"/>
        <v>0</v>
      </c>
      <c r="AM1204" t="e" cm="1">
        <f t="array" aca="1" ref="AM1204" ca="1">IF(B1204="Yes",YEAR(TODAY()),BLANK())</f>
        <v>#NAME?</v>
      </c>
      <c r="AN1204" t="str" cm="1">
        <f t="array" ref="AN1204" xml:space="preserve"> _xlfn.IFS(A1204&lt;25,"&lt;25",
A1204&lt;=35,"25-35",
A1204&lt;=45,"36-45",
TRUE,"45+"
)</f>
        <v>36-45</v>
      </c>
      <c r="AO1204" t="str" cm="1">
        <f t="array" ref="AO1204">_xlfn.IFS(S1204&lt;5000,"Low",
S1204&lt;=15000,"Medium",
TRUE,"High")</f>
        <v>Low</v>
      </c>
    </row>
    <row r="1205" spans="1:41" hidden="1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 t="str">
        <f t="shared" si="54"/>
        <v>Active</v>
      </c>
      <c r="AK1205">
        <f t="shared" ca="1" si="55"/>
        <v>2014</v>
      </c>
      <c r="AL1205">
        <f t="shared" si="56"/>
        <v>0</v>
      </c>
      <c r="AM1205" t="e" cm="1">
        <f t="array" aca="1" ref="AM1205" ca="1">IF(B1205="Yes",YEAR(TODAY()),BLANK())</f>
        <v>#NAME?</v>
      </c>
      <c r="AN1205" t="str" cm="1">
        <f t="array" ref="AN1205" xml:space="preserve"> _xlfn.IFS(A1205&lt;25,"&lt;25",
A1205&lt;=35,"25-35",
A1205&lt;=45,"36-45",
TRUE,"45+"
)</f>
        <v>45+</v>
      </c>
      <c r="AO1205" t="str" cm="1">
        <f t="array" ref="AO1205">_xlfn.IFS(S1205&lt;5000,"Low",
S1205&lt;=15000,"Medium",
TRUE,"High")</f>
        <v>Medium</v>
      </c>
    </row>
    <row r="1206" spans="1:41" hidden="1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 t="str">
        <f t="shared" si="54"/>
        <v>Resigned</v>
      </c>
      <c r="AK1206">
        <f t="shared" ca="1" si="55"/>
        <v>2006</v>
      </c>
      <c r="AL1206">
        <f t="shared" si="56"/>
        <v>1</v>
      </c>
      <c r="AM1206" cm="1">
        <f t="array" aca="1" ref="AM1206" ca="1">IF(B1206="Yes",YEAR(TODAY()),BLANK())</f>
        <v>2025</v>
      </c>
      <c r="AN1206" t="str" cm="1">
        <f t="array" ref="AN1206" xml:space="preserve"> _xlfn.IFS(A1206&lt;25,"&lt;25",
A1206&lt;=35,"25-35",
A1206&lt;=45,"36-45",
TRUE,"45+"
)</f>
        <v>45+</v>
      </c>
      <c r="AO1206" t="str" cm="1">
        <f t="array" ref="AO1206">_xlfn.IFS(S1206&lt;5000,"Low",
S1206&lt;=15000,"Medium",
TRUE,"High")</f>
        <v>Low</v>
      </c>
    </row>
    <row r="1207" spans="1:41" hidden="1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 t="str">
        <f t="shared" si="54"/>
        <v>Resigned</v>
      </c>
      <c r="AK1207">
        <f t="shared" ca="1" si="55"/>
        <v>2024</v>
      </c>
      <c r="AL1207">
        <f t="shared" si="56"/>
        <v>1</v>
      </c>
      <c r="AM1207" cm="1">
        <f t="array" aca="1" ref="AM1207" ca="1">IF(B1207="Yes",YEAR(TODAY()),BLANK())</f>
        <v>2025</v>
      </c>
      <c r="AN1207" t="str" cm="1">
        <f t="array" ref="AN1207" xml:space="preserve"> _xlfn.IFS(A1207&lt;25,"&lt;25",
A1207&lt;=35,"25-35",
A1207&lt;=45,"36-45",
TRUE,"45+"
)</f>
        <v>25-35</v>
      </c>
      <c r="AO1207" t="str" cm="1">
        <f t="array" ref="AO1207">_xlfn.IFS(S1207&lt;5000,"Low",
S1207&lt;=15000,"Medium",
TRUE,"High")</f>
        <v>Low</v>
      </c>
    </row>
    <row r="1208" spans="1:41" hidden="1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 t="str">
        <f t="shared" si="54"/>
        <v>Active</v>
      </c>
      <c r="AK1208">
        <f t="shared" ca="1" si="55"/>
        <v>2018</v>
      </c>
      <c r="AL1208">
        <f t="shared" si="56"/>
        <v>0</v>
      </c>
      <c r="AM1208" t="e" cm="1">
        <f t="array" aca="1" ref="AM1208" ca="1">IF(B1208="Yes",YEAR(TODAY()),BLANK())</f>
        <v>#NAME?</v>
      </c>
      <c r="AN1208" t="str" cm="1">
        <f t="array" ref="AN1208" xml:space="preserve"> _xlfn.IFS(A1208&lt;25,"&lt;25",
A1208&lt;=35,"25-35",
A1208&lt;=45,"36-45",
TRUE,"45+"
)</f>
        <v>25-35</v>
      </c>
      <c r="AO1208" t="str" cm="1">
        <f t="array" ref="AO1208">_xlfn.IFS(S1208&lt;5000,"Low",
S1208&lt;=15000,"Medium",
TRUE,"High")</f>
        <v>Low</v>
      </c>
    </row>
    <row r="1209" spans="1:41" hidden="1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 t="str">
        <f t="shared" si="54"/>
        <v>Active</v>
      </c>
      <c r="AK1209">
        <f t="shared" ca="1" si="55"/>
        <v>2017</v>
      </c>
      <c r="AL1209">
        <f t="shared" si="56"/>
        <v>0</v>
      </c>
      <c r="AM1209" t="e" cm="1">
        <f t="array" aca="1" ref="AM1209" ca="1">IF(B1209="Yes",YEAR(TODAY()),BLANK())</f>
        <v>#NAME?</v>
      </c>
      <c r="AN1209" t="str" cm="1">
        <f t="array" ref="AN1209" xml:space="preserve"> _xlfn.IFS(A1209&lt;25,"&lt;25",
A1209&lt;=35,"25-35",
A1209&lt;=45,"36-45",
TRUE,"45+"
)</f>
        <v>45+</v>
      </c>
      <c r="AO1209" t="str" cm="1">
        <f t="array" ref="AO1209">_xlfn.IFS(S1209&lt;5000,"Low",
S1209&lt;=15000,"Medium",
TRUE,"High")</f>
        <v>Low</v>
      </c>
    </row>
    <row r="1210" spans="1:41" hidden="1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 t="str">
        <f t="shared" si="54"/>
        <v>Active</v>
      </c>
      <c r="AK1210">
        <f t="shared" ca="1" si="55"/>
        <v>2010</v>
      </c>
      <c r="AL1210">
        <f t="shared" si="56"/>
        <v>0</v>
      </c>
      <c r="AM1210" t="e" cm="1">
        <f t="array" aca="1" ref="AM1210" ca="1">IF(B1210="Yes",YEAR(TODAY()),BLANK())</f>
        <v>#NAME?</v>
      </c>
      <c r="AN1210" t="str" cm="1">
        <f t="array" ref="AN1210" xml:space="preserve"> _xlfn.IFS(A1210&lt;25,"&lt;25",
A1210&lt;=35,"25-35",
A1210&lt;=45,"36-45",
TRUE,"45+"
)</f>
        <v>25-35</v>
      </c>
      <c r="AO1210" t="str" cm="1">
        <f t="array" ref="AO1210">_xlfn.IFS(S1210&lt;5000,"Low",
S1210&lt;=15000,"Medium",
TRUE,"High")</f>
        <v>Low</v>
      </c>
    </row>
    <row r="1211" spans="1:41" hidden="1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 t="str">
        <f t="shared" si="54"/>
        <v>Active</v>
      </c>
      <c r="AK1211">
        <f t="shared" ca="1" si="55"/>
        <v>2006</v>
      </c>
      <c r="AL1211">
        <f t="shared" si="56"/>
        <v>0</v>
      </c>
      <c r="AM1211" t="e" cm="1">
        <f t="array" aca="1" ref="AM1211" ca="1">IF(B1211="Yes",YEAR(TODAY()),BLANK())</f>
        <v>#NAME?</v>
      </c>
      <c r="AN1211" t="str" cm="1">
        <f t="array" ref="AN1211" xml:space="preserve"> _xlfn.IFS(A1211&lt;25,"&lt;25",
A1211&lt;=35,"25-35",
A1211&lt;=45,"36-45",
TRUE,"45+"
)</f>
        <v>45+</v>
      </c>
      <c r="AO1211" t="str" cm="1">
        <f t="array" ref="AO1211">_xlfn.IFS(S1211&lt;5000,"Low",
S1211&lt;=15000,"Medium",
TRUE,"High")</f>
        <v>Medium</v>
      </c>
    </row>
    <row r="1212" spans="1:41" hidden="1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 t="str">
        <f t="shared" si="54"/>
        <v>Active</v>
      </c>
      <c r="AK1212">
        <f t="shared" ca="1" si="55"/>
        <v>2011</v>
      </c>
      <c r="AL1212">
        <f t="shared" si="56"/>
        <v>0</v>
      </c>
      <c r="AM1212" t="e" cm="1">
        <f t="array" aca="1" ref="AM1212" ca="1">IF(B1212="Yes",YEAR(TODAY()),BLANK())</f>
        <v>#NAME?</v>
      </c>
      <c r="AN1212" t="str" cm="1">
        <f t="array" ref="AN1212" xml:space="preserve"> _xlfn.IFS(A1212&lt;25,"&lt;25",
A1212&lt;=35,"25-35",
A1212&lt;=45,"36-45",
TRUE,"45+"
)</f>
        <v>25-35</v>
      </c>
      <c r="AO1212" t="str" cm="1">
        <f t="array" ref="AO1212">_xlfn.IFS(S1212&lt;5000,"Low",
S1212&lt;=15000,"Medium",
TRUE,"High")</f>
        <v>Low</v>
      </c>
    </row>
    <row r="1213" spans="1:41" hidden="1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 t="str">
        <f t="shared" si="54"/>
        <v>Active</v>
      </c>
      <c r="AK1213">
        <f t="shared" ca="1" si="55"/>
        <v>2019</v>
      </c>
      <c r="AL1213">
        <f t="shared" si="56"/>
        <v>0</v>
      </c>
      <c r="AM1213" t="e" cm="1">
        <f t="array" aca="1" ref="AM1213" ca="1">IF(B1213="Yes",YEAR(TODAY()),BLANK())</f>
        <v>#NAME?</v>
      </c>
      <c r="AN1213" t="str" cm="1">
        <f t="array" ref="AN1213" xml:space="preserve"> _xlfn.IFS(A1213&lt;25,"&lt;25",
A1213&lt;=35,"25-35",
A1213&lt;=45,"36-45",
TRUE,"45+"
)</f>
        <v>36-45</v>
      </c>
      <c r="AO1213" t="str" cm="1">
        <f t="array" ref="AO1213">_xlfn.IFS(S1213&lt;5000,"Low",
S1213&lt;=15000,"Medium",
TRUE,"High")</f>
        <v>Medium</v>
      </c>
    </row>
    <row r="1214" spans="1:41" hidden="1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 t="str">
        <f t="shared" si="54"/>
        <v>Active</v>
      </c>
      <c r="AK1214">
        <f t="shared" ca="1" si="55"/>
        <v>2015</v>
      </c>
      <c r="AL1214">
        <f t="shared" si="56"/>
        <v>0</v>
      </c>
      <c r="AM1214" t="e" cm="1">
        <f t="array" aca="1" ref="AM1214" ca="1">IF(B1214="Yes",YEAR(TODAY()),BLANK())</f>
        <v>#NAME?</v>
      </c>
      <c r="AN1214" t="str" cm="1">
        <f t="array" ref="AN1214" xml:space="preserve"> _xlfn.IFS(A1214&lt;25,"&lt;25",
A1214&lt;=35,"25-35",
A1214&lt;=45,"36-45",
TRUE,"45+"
)</f>
        <v>25-35</v>
      </c>
      <c r="AO1214" t="str" cm="1">
        <f t="array" ref="AO1214">_xlfn.IFS(S1214&lt;5000,"Low",
S1214&lt;=15000,"Medium",
TRUE,"High")</f>
        <v>Low</v>
      </c>
    </row>
    <row r="1215" spans="1:41" hidden="1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 t="str">
        <f t="shared" si="54"/>
        <v>Resigned</v>
      </c>
      <c r="AK1215">
        <f t="shared" ca="1" si="55"/>
        <v>2022</v>
      </c>
      <c r="AL1215">
        <f t="shared" si="56"/>
        <v>1</v>
      </c>
      <c r="AM1215" cm="1">
        <f t="array" aca="1" ref="AM1215" ca="1">IF(B1215="Yes",YEAR(TODAY()),BLANK())</f>
        <v>2025</v>
      </c>
      <c r="AN1215" t="str" cm="1">
        <f t="array" ref="AN1215" xml:space="preserve"> _xlfn.IFS(A1215&lt;25,"&lt;25",
A1215&lt;=35,"25-35",
A1215&lt;=45,"36-45",
TRUE,"45+"
)</f>
        <v>&lt;25</v>
      </c>
      <c r="AO1215" t="str" cm="1">
        <f t="array" ref="AO1215">_xlfn.IFS(S1215&lt;5000,"Low",
S1215&lt;=15000,"Medium",
TRUE,"High")</f>
        <v>Low</v>
      </c>
    </row>
    <row r="1216" spans="1:41" hidden="1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 t="str">
        <f t="shared" si="54"/>
        <v>Active</v>
      </c>
      <c r="AK1216">
        <f t="shared" ca="1" si="55"/>
        <v>2016</v>
      </c>
      <c r="AL1216">
        <f t="shared" si="56"/>
        <v>0</v>
      </c>
      <c r="AM1216" t="e" cm="1">
        <f t="array" aca="1" ref="AM1216" ca="1">IF(B1216="Yes",YEAR(TODAY()),BLANK())</f>
        <v>#NAME?</v>
      </c>
      <c r="AN1216" t="str" cm="1">
        <f t="array" ref="AN1216" xml:space="preserve"> _xlfn.IFS(A1216&lt;25,"&lt;25",
A1216&lt;=35,"25-35",
A1216&lt;=45,"36-45",
TRUE,"45+"
)</f>
        <v>36-45</v>
      </c>
      <c r="AO1216" t="str" cm="1">
        <f t="array" ref="AO1216">_xlfn.IFS(S1216&lt;5000,"Low",
S1216&lt;=15000,"Medium",
TRUE,"High")</f>
        <v>Medium</v>
      </c>
    </row>
    <row r="1217" spans="1:41" hidden="1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 t="str">
        <f t="shared" si="54"/>
        <v>Active</v>
      </c>
      <c r="AK1217">
        <f t="shared" ca="1" si="55"/>
        <v>2019</v>
      </c>
      <c r="AL1217">
        <f t="shared" si="56"/>
        <v>0</v>
      </c>
      <c r="AM1217" t="e" cm="1">
        <f t="array" aca="1" ref="AM1217" ca="1">IF(B1217="Yes",YEAR(TODAY()),BLANK())</f>
        <v>#NAME?</v>
      </c>
      <c r="AN1217" t="str" cm="1">
        <f t="array" ref="AN1217" xml:space="preserve"> _xlfn.IFS(A1217&lt;25,"&lt;25",
A1217&lt;=35,"25-35",
A1217&lt;=45,"36-45",
TRUE,"45+"
)</f>
        <v>25-35</v>
      </c>
      <c r="AO1217" t="str" cm="1">
        <f t="array" ref="AO1217">_xlfn.IFS(S1217&lt;5000,"Low",
S1217&lt;=15000,"Medium",
TRUE,"High")</f>
        <v>Low</v>
      </c>
    </row>
    <row r="1218" spans="1:41" hidden="1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 t="str">
        <f t="shared" si="54"/>
        <v>Active</v>
      </c>
      <c r="AK1218">
        <f t="shared" ca="1" si="55"/>
        <v>2015</v>
      </c>
      <c r="AL1218">
        <f t="shared" si="56"/>
        <v>0</v>
      </c>
      <c r="AM1218" t="e" cm="1">
        <f t="array" aca="1" ref="AM1218" ca="1">IF(B1218="Yes",YEAR(TODAY()),BLANK())</f>
        <v>#NAME?</v>
      </c>
      <c r="AN1218" t="str" cm="1">
        <f t="array" ref="AN1218" xml:space="preserve"> _xlfn.IFS(A1218&lt;25,"&lt;25",
A1218&lt;=35,"25-35",
A1218&lt;=45,"36-45",
TRUE,"45+"
)</f>
        <v>36-45</v>
      </c>
      <c r="AO1218" t="str" cm="1">
        <f t="array" ref="AO1218">_xlfn.IFS(S1218&lt;5000,"Low",
S1218&lt;=15000,"Medium",
TRUE,"High")</f>
        <v>Medium</v>
      </c>
    </row>
    <row r="1219" spans="1:41" hidden="1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 t="str">
        <f t="shared" ref="AJ1219:AJ1282" si="57">IF(B1219="Yes", "Resigned","Active")</f>
        <v>Active</v>
      </c>
      <c r="AK1219">
        <f t="shared" ref="AK1219:AK1282" ca="1" si="58">YEAR(TODAY()) - AC1219</f>
        <v>2020</v>
      </c>
      <c r="AL1219">
        <f t="shared" ref="AL1219:AL1282" si="59">IF(B1219="Yes",1,0)</f>
        <v>0</v>
      </c>
      <c r="AM1219" t="e" cm="1">
        <f t="array" aca="1" ref="AM1219" ca="1">IF(B1219="Yes",YEAR(TODAY()),BLANK())</f>
        <v>#NAME?</v>
      </c>
      <c r="AN1219" t="str" cm="1">
        <f t="array" ref="AN1219" xml:space="preserve"> _xlfn.IFS(A1219&lt;25,"&lt;25",
A1219&lt;=35,"25-35",
A1219&lt;=45,"36-45",
TRUE,"45+"
)</f>
        <v>&lt;25</v>
      </c>
      <c r="AO1219" t="str" cm="1">
        <f t="array" ref="AO1219">_xlfn.IFS(S1219&lt;5000,"Low",
S1219&lt;=15000,"Medium",
TRUE,"High")</f>
        <v>Low</v>
      </c>
    </row>
    <row r="1220" spans="1:41" hidden="1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 t="str">
        <f t="shared" si="57"/>
        <v>Active</v>
      </c>
      <c r="AK1220">
        <f t="shared" ca="1" si="58"/>
        <v>2015</v>
      </c>
      <c r="AL1220">
        <f t="shared" si="59"/>
        <v>0</v>
      </c>
      <c r="AM1220" t="e" cm="1">
        <f t="array" aca="1" ref="AM1220" ca="1">IF(B1220="Yes",YEAR(TODAY()),BLANK())</f>
        <v>#NAME?</v>
      </c>
      <c r="AN1220" t="str" cm="1">
        <f t="array" ref="AN1220" xml:space="preserve"> _xlfn.IFS(A1220&lt;25,"&lt;25",
A1220&lt;=35,"25-35",
A1220&lt;=45,"36-45",
TRUE,"45+"
)</f>
        <v>36-45</v>
      </c>
      <c r="AO1220" t="str" cm="1">
        <f t="array" ref="AO1220">_xlfn.IFS(S1220&lt;5000,"Low",
S1220&lt;=15000,"Medium",
TRUE,"High")</f>
        <v>Medium</v>
      </c>
    </row>
    <row r="1221" spans="1:41" hidden="1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 t="str">
        <f t="shared" si="57"/>
        <v>Active</v>
      </c>
      <c r="AK1221">
        <f t="shared" ca="1" si="58"/>
        <v>2016</v>
      </c>
      <c r="AL1221">
        <f t="shared" si="59"/>
        <v>0</v>
      </c>
      <c r="AM1221" t="e" cm="1">
        <f t="array" aca="1" ref="AM1221" ca="1">IF(B1221="Yes",YEAR(TODAY()),BLANK())</f>
        <v>#NAME?</v>
      </c>
      <c r="AN1221" t="str" cm="1">
        <f t="array" ref="AN1221" xml:space="preserve"> _xlfn.IFS(A1221&lt;25,"&lt;25",
A1221&lt;=35,"25-35",
A1221&lt;=45,"36-45",
TRUE,"45+"
)</f>
        <v>25-35</v>
      </c>
      <c r="AO1221" t="str" cm="1">
        <f t="array" ref="AO1221">_xlfn.IFS(S1221&lt;5000,"Low",
S1221&lt;=15000,"Medium",
TRUE,"High")</f>
        <v>Low</v>
      </c>
    </row>
    <row r="1222" spans="1:41" hidden="1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 t="str">
        <f t="shared" si="57"/>
        <v>Active</v>
      </c>
      <c r="AK1222">
        <f t="shared" ca="1" si="58"/>
        <v>2008</v>
      </c>
      <c r="AL1222">
        <f t="shared" si="59"/>
        <v>0</v>
      </c>
      <c r="AM1222" t="e" cm="1">
        <f t="array" aca="1" ref="AM1222" ca="1">IF(B1222="Yes",YEAR(TODAY()),BLANK())</f>
        <v>#NAME?</v>
      </c>
      <c r="AN1222" t="str" cm="1">
        <f t="array" ref="AN1222" xml:space="preserve"> _xlfn.IFS(A1222&lt;25,"&lt;25",
A1222&lt;=35,"25-35",
A1222&lt;=45,"36-45",
TRUE,"45+"
)</f>
        <v>36-45</v>
      </c>
      <c r="AO1222" t="str" cm="1">
        <f t="array" ref="AO1222">_xlfn.IFS(S1222&lt;5000,"Low",
S1222&lt;=15000,"Medium",
TRUE,"High")</f>
        <v>Low</v>
      </c>
    </row>
    <row r="1223" spans="1:41" hidden="1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 t="str">
        <f t="shared" si="57"/>
        <v>Active</v>
      </c>
      <c r="AK1223">
        <f t="shared" ca="1" si="58"/>
        <v>2000</v>
      </c>
      <c r="AL1223">
        <f t="shared" si="59"/>
        <v>0</v>
      </c>
      <c r="AM1223" t="e" cm="1">
        <f t="array" aca="1" ref="AM1223" ca="1">IF(B1223="Yes",YEAR(TODAY()),BLANK())</f>
        <v>#NAME?</v>
      </c>
      <c r="AN1223" t="str" cm="1">
        <f t="array" ref="AN1223" xml:space="preserve"> _xlfn.IFS(A1223&lt;25,"&lt;25",
A1223&lt;=35,"25-35",
A1223&lt;=45,"36-45",
TRUE,"45+"
)</f>
        <v>36-45</v>
      </c>
      <c r="AO1223" t="str" cm="1">
        <f t="array" ref="AO1223">_xlfn.IFS(S1223&lt;5000,"Low",
S1223&lt;=15000,"Medium",
TRUE,"High")</f>
        <v>Medium</v>
      </c>
    </row>
    <row r="1224" spans="1:41" hidden="1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 t="str">
        <f t="shared" si="57"/>
        <v>Resigned</v>
      </c>
      <c r="AK1224">
        <f t="shared" ca="1" si="58"/>
        <v>2024</v>
      </c>
      <c r="AL1224">
        <f t="shared" si="59"/>
        <v>1</v>
      </c>
      <c r="AM1224" cm="1">
        <f t="array" aca="1" ref="AM1224" ca="1">IF(B1224="Yes",YEAR(TODAY()),BLANK())</f>
        <v>2025</v>
      </c>
      <c r="AN1224" t="str" cm="1">
        <f t="array" ref="AN1224" xml:space="preserve"> _xlfn.IFS(A1224&lt;25,"&lt;25",
A1224&lt;=35,"25-35",
A1224&lt;=45,"36-45",
TRUE,"45+"
)</f>
        <v>&lt;25</v>
      </c>
      <c r="AO1224" t="str" cm="1">
        <f t="array" ref="AO1224">_xlfn.IFS(S1224&lt;5000,"Low",
S1224&lt;=15000,"Medium",
TRUE,"High")</f>
        <v>Low</v>
      </c>
    </row>
    <row r="1225" spans="1:41" hidden="1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 t="str">
        <f t="shared" si="57"/>
        <v>Resigned</v>
      </c>
      <c r="AK1225">
        <f t="shared" ca="1" si="58"/>
        <v>2000</v>
      </c>
      <c r="AL1225">
        <f t="shared" si="59"/>
        <v>1</v>
      </c>
      <c r="AM1225" cm="1">
        <f t="array" aca="1" ref="AM1225" ca="1">IF(B1225="Yes",YEAR(TODAY()),BLANK())</f>
        <v>2025</v>
      </c>
      <c r="AN1225" t="str" cm="1">
        <f t="array" ref="AN1225" xml:space="preserve"> _xlfn.IFS(A1225&lt;25,"&lt;25",
A1225&lt;=35,"25-35",
A1225&lt;=45,"36-45",
TRUE,"45+"
)</f>
        <v>45+</v>
      </c>
      <c r="AO1225" t="str" cm="1">
        <f t="array" ref="AO1225">_xlfn.IFS(S1225&lt;5000,"Low",
S1225&lt;=15000,"Medium",
TRUE,"High")</f>
        <v>Medium</v>
      </c>
    </row>
    <row r="1226" spans="1:41" hidden="1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 t="str">
        <f t="shared" si="57"/>
        <v>Active</v>
      </c>
      <c r="AK1226">
        <f t="shared" ca="1" si="58"/>
        <v>2022</v>
      </c>
      <c r="AL1226">
        <f t="shared" si="59"/>
        <v>0</v>
      </c>
      <c r="AM1226" t="e" cm="1">
        <f t="array" aca="1" ref="AM1226" ca="1">IF(B1226="Yes",YEAR(TODAY()),BLANK())</f>
        <v>#NAME?</v>
      </c>
      <c r="AN1226" t="str" cm="1">
        <f t="array" ref="AN1226" xml:space="preserve"> _xlfn.IFS(A1226&lt;25,"&lt;25",
A1226&lt;=35,"25-35",
A1226&lt;=45,"36-45",
TRUE,"45+"
)</f>
        <v>25-35</v>
      </c>
      <c r="AO1226" t="str" cm="1">
        <f t="array" ref="AO1226">_xlfn.IFS(S1226&lt;5000,"Low",
S1226&lt;=15000,"Medium",
TRUE,"High")</f>
        <v>Low</v>
      </c>
    </row>
    <row r="1227" spans="1:41" hidden="1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 t="str">
        <f t="shared" si="57"/>
        <v>Active</v>
      </c>
      <c r="AK1227">
        <f t="shared" ca="1" si="58"/>
        <v>2004</v>
      </c>
      <c r="AL1227">
        <f t="shared" si="59"/>
        <v>0</v>
      </c>
      <c r="AM1227" t="e" cm="1">
        <f t="array" aca="1" ref="AM1227" ca="1">IF(B1227="Yes",YEAR(TODAY()),BLANK())</f>
        <v>#NAME?</v>
      </c>
      <c r="AN1227" t="str" cm="1">
        <f t="array" ref="AN1227" xml:space="preserve"> _xlfn.IFS(A1227&lt;25,"&lt;25",
A1227&lt;=35,"25-35",
A1227&lt;=45,"36-45",
TRUE,"45+"
)</f>
        <v>36-45</v>
      </c>
      <c r="AO1227" t="str" cm="1">
        <f t="array" ref="AO1227">_xlfn.IFS(S1227&lt;5000,"Low",
S1227&lt;=15000,"Medium",
TRUE,"High")</f>
        <v>High</v>
      </c>
    </row>
    <row r="1228" spans="1:41" hidden="1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 t="str">
        <f t="shared" si="57"/>
        <v>Active</v>
      </c>
      <c r="AK1228">
        <f t="shared" ca="1" si="58"/>
        <v>2015</v>
      </c>
      <c r="AL1228">
        <f t="shared" si="59"/>
        <v>0</v>
      </c>
      <c r="AM1228" t="e" cm="1">
        <f t="array" aca="1" ref="AM1228" ca="1">IF(B1228="Yes",YEAR(TODAY()),BLANK())</f>
        <v>#NAME?</v>
      </c>
      <c r="AN1228" t="str" cm="1">
        <f t="array" ref="AN1228" xml:space="preserve"> _xlfn.IFS(A1228&lt;25,"&lt;25",
A1228&lt;=35,"25-35",
A1228&lt;=45,"36-45",
TRUE,"45+"
)</f>
        <v>25-35</v>
      </c>
      <c r="AO1228" t="str" cm="1">
        <f t="array" ref="AO1228">_xlfn.IFS(S1228&lt;5000,"Low",
S1228&lt;=15000,"Medium",
TRUE,"High")</f>
        <v>Low</v>
      </c>
    </row>
    <row r="1229" spans="1:41" hidden="1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 t="str">
        <f t="shared" si="57"/>
        <v>Active</v>
      </c>
      <c r="AK1229">
        <f t="shared" ca="1" si="58"/>
        <v>2019</v>
      </c>
      <c r="AL1229">
        <f t="shared" si="59"/>
        <v>0</v>
      </c>
      <c r="AM1229" t="e" cm="1">
        <f t="array" aca="1" ref="AM1229" ca="1">IF(B1229="Yes",YEAR(TODAY()),BLANK())</f>
        <v>#NAME?</v>
      </c>
      <c r="AN1229" t="str" cm="1">
        <f t="array" ref="AN1229" xml:space="preserve"> _xlfn.IFS(A1229&lt;25,"&lt;25",
A1229&lt;=35,"25-35",
A1229&lt;=45,"36-45",
TRUE,"45+"
)</f>
        <v>25-35</v>
      </c>
      <c r="AO1229" t="str" cm="1">
        <f t="array" ref="AO1229">_xlfn.IFS(S1229&lt;5000,"Low",
S1229&lt;=15000,"Medium",
TRUE,"High")</f>
        <v>Low</v>
      </c>
    </row>
    <row r="1230" spans="1:41" hidden="1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 t="str">
        <f t="shared" si="57"/>
        <v>Active</v>
      </c>
      <c r="AK1230">
        <f t="shared" ca="1" si="58"/>
        <v>2015</v>
      </c>
      <c r="AL1230">
        <f t="shared" si="59"/>
        <v>0</v>
      </c>
      <c r="AM1230" t="e" cm="1">
        <f t="array" aca="1" ref="AM1230" ca="1">IF(B1230="Yes",YEAR(TODAY()),BLANK())</f>
        <v>#NAME?</v>
      </c>
      <c r="AN1230" t="str" cm="1">
        <f t="array" ref="AN1230" xml:space="preserve"> _xlfn.IFS(A1230&lt;25,"&lt;25",
A1230&lt;=35,"25-35",
A1230&lt;=45,"36-45",
TRUE,"45+"
)</f>
        <v>36-45</v>
      </c>
      <c r="AO1230" t="str" cm="1">
        <f t="array" ref="AO1230">_xlfn.IFS(S1230&lt;5000,"Low",
S1230&lt;=15000,"Medium",
TRUE,"High")</f>
        <v>Medium</v>
      </c>
    </row>
    <row r="1231" spans="1:41" hidden="1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 t="str">
        <f t="shared" si="57"/>
        <v>Active</v>
      </c>
      <c r="AK1231">
        <f t="shared" ca="1" si="58"/>
        <v>2007</v>
      </c>
      <c r="AL1231">
        <f t="shared" si="59"/>
        <v>0</v>
      </c>
      <c r="AM1231" t="e" cm="1">
        <f t="array" aca="1" ref="AM1231" ca="1">IF(B1231="Yes",YEAR(TODAY()),BLANK())</f>
        <v>#NAME?</v>
      </c>
      <c r="AN1231" t="str" cm="1">
        <f t="array" ref="AN1231" xml:space="preserve"> _xlfn.IFS(A1231&lt;25,"&lt;25",
A1231&lt;=35,"25-35",
A1231&lt;=45,"36-45",
TRUE,"45+"
)</f>
        <v>36-45</v>
      </c>
      <c r="AO1231" t="str" cm="1">
        <f t="array" ref="AO1231">_xlfn.IFS(S1231&lt;5000,"Low",
S1231&lt;=15000,"Medium",
TRUE,"High")</f>
        <v>Medium</v>
      </c>
    </row>
    <row r="1232" spans="1:41" hidden="1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 t="str">
        <f t="shared" si="57"/>
        <v>Active</v>
      </c>
      <c r="AK1232">
        <f t="shared" ca="1" si="58"/>
        <v>2019</v>
      </c>
      <c r="AL1232">
        <f t="shared" si="59"/>
        <v>0</v>
      </c>
      <c r="AM1232" t="e" cm="1">
        <f t="array" aca="1" ref="AM1232" ca="1">IF(B1232="Yes",YEAR(TODAY()),BLANK())</f>
        <v>#NAME?</v>
      </c>
      <c r="AN1232" t="str" cm="1">
        <f t="array" ref="AN1232" xml:space="preserve"> _xlfn.IFS(A1232&lt;25,"&lt;25",
A1232&lt;=35,"25-35",
A1232&lt;=45,"36-45",
TRUE,"45+"
)</f>
        <v>&lt;25</v>
      </c>
      <c r="AO1232" t="str" cm="1">
        <f t="array" ref="AO1232">_xlfn.IFS(S1232&lt;5000,"Low",
S1232&lt;=15000,"Medium",
TRUE,"High")</f>
        <v>Low</v>
      </c>
    </row>
    <row r="1233" spans="1:41" hidden="1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 t="str">
        <f t="shared" si="57"/>
        <v>Active</v>
      </c>
      <c r="AK1233">
        <f t="shared" ca="1" si="58"/>
        <v>2006</v>
      </c>
      <c r="AL1233">
        <f t="shared" si="59"/>
        <v>0</v>
      </c>
      <c r="AM1233" t="e" cm="1">
        <f t="array" aca="1" ref="AM1233" ca="1">IF(B1233="Yes",YEAR(TODAY()),BLANK())</f>
        <v>#NAME?</v>
      </c>
      <c r="AN1233" t="str" cm="1">
        <f t="array" ref="AN1233" xml:space="preserve"> _xlfn.IFS(A1233&lt;25,"&lt;25",
A1233&lt;=35,"25-35",
A1233&lt;=45,"36-45",
TRUE,"45+"
)</f>
        <v>45+</v>
      </c>
      <c r="AO1233" t="str" cm="1">
        <f t="array" ref="AO1233">_xlfn.IFS(S1233&lt;5000,"Low",
S1233&lt;=15000,"Medium",
TRUE,"High")</f>
        <v>Medium</v>
      </c>
    </row>
    <row r="1234" spans="1:41" hidden="1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 t="str">
        <f t="shared" si="57"/>
        <v>Active</v>
      </c>
      <c r="AK1234">
        <f t="shared" ca="1" si="58"/>
        <v>2008</v>
      </c>
      <c r="AL1234">
        <f t="shared" si="59"/>
        <v>0</v>
      </c>
      <c r="AM1234" t="e" cm="1">
        <f t="array" aca="1" ref="AM1234" ca="1">IF(B1234="Yes",YEAR(TODAY()),BLANK())</f>
        <v>#NAME?</v>
      </c>
      <c r="AN1234" t="str" cm="1">
        <f t="array" ref="AN1234" xml:space="preserve"> _xlfn.IFS(A1234&lt;25,"&lt;25",
A1234&lt;=35,"25-35",
A1234&lt;=45,"36-45",
TRUE,"45+"
)</f>
        <v>25-35</v>
      </c>
      <c r="AO1234" t="str" cm="1">
        <f t="array" ref="AO1234">_xlfn.IFS(S1234&lt;5000,"Low",
S1234&lt;=15000,"Medium",
TRUE,"High")</f>
        <v>Medium</v>
      </c>
    </row>
    <row r="1235" spans="1:41" hidden="1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 t="str">
        <f t="shared" si="57"/>
        <v>Active</v>
      </c>
      <c r="AK1235">
        <f t="shared" ca="1" si="58"/>
        <v>2015</v>
      </c>
      <c r="AL1235">
        <f t="shared" si="59"/>
        <v>0</v>
      </c>
      <c r="AM1235" t="e" cm="1">
        <f t="array" aca="1" ref="AM1235" ca="1">IF(B1235="Yes",YEAR(TODAY()),BLANK())</f>
        <v>#NAME?</v>
      </c>
      <c r="AN1235" t="str" cm="1">
        <f t="array" ref="AN1235" xml:space="preserve"> _xlfn.IFS(A1235&lt;25,"&lt;25",
A1235&lt;=35,"25-35",
A1235&lt;=45,"36-45",
TRUE,"45+"
)</f>
        <v>25-35</v>
      </c>
      <c r="AO1235" t="str" cm="1">
        <f t="array" ref="AO1235">_xlfn.IFS(S1235&lt;5000,"Low",
S1235&lt;=15000,"Medium",
TRUE,"High")</f>
        <v>Low</v>
      </c>
    </row>
    <row r="1236" spans="1:41" hidden="1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 t="str">
        <f t="shared" si="57"/>
        <v>Active</v>
      </c>
      <c r="AK1236">
        <f t="shared" ca="1" si="58"/>
        <v>2021</v>
      </c>
      <c r="AL1236">
        <f t="shared" si="59"/>
        <v>0</v>
      </c>
      <c r="AM1236" t="e" cm="1">
        <f t="array" aca="1" ref="AM1236" ca="1">IF(B1236="Yes",YEAR(TODAY()),BLANK())</f>
        <v>#NAME?</v>
      </c>
      <c r="AN1236" t="str" cm="1">
        <f t="array" ref="AN1236" xml:space="preserve"> _xlfn.IFS(A1236&lt;25,"&lt;25",
A1236&lt;=35,"25-35",
A1236&lt;=45,"36-45",
TRUE,"45+"
)</f>
        <v>45+</v>
      </c>
      <c r="AO1236" t="str" cm="1">
        <f t="array" ref="AO1236">_xlfn.IFS(S1236&lt;5000,"Low",
S1236&lt;=15000,"Medium",
TRUE,"High")</f>
        <v>Low</v>
      </c>
    </row>
    <row r="1237" spans="1:41" hidden="1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 t="str">
        <f t="shared" si="57"/>
        <v>Active</v>
      </c>
      <c r="AK1237">
        <f t="shared" ca="1" si="58"/>
        <v>2012</v>
      </c>
      <c r="AL1237">
        <f t="shared" si="59"/>
        <v>0</v>
      </c>
      <c r="AM1237" t="e" cm="1">
        <f t="array" aca="1" ref="AM1237" ca="1">IF(B1237="Yes",YEAR(TODAY()),BLANK())</f>
        <v>#NAME?</v>
      </c>
      <c r="AN1237" t="str" cm="1">
        <f t="array" ref="AN1237" xml:space="preserve"> _xlfn.IFS(A1237&lt;25,"&lt;25",
A1237&lt;=35,"25-35",
A1237&lt;=45,"36-45",
TRUE,"45+"
)</f>
        <v>45+</v>
      </c>
      <c r="AO1237" t="str" cm="1">
        <f t="array" ref="AO1237">_xlfn.IFS(S1237&lt;5000,"Low",
S1237&lt;=15000,"Medium",
TRUE,"High")</f>
        <v>Medium</v>
      </c>
    </row>
    <row r="1238" spans="1:41" hidden="1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 t="str">
        <f t="shared" si="57"/>
        <v>Resigned</v>
      </c>
      <c r="AK1238">
        <f t="shared" ca="1" si="58"/>
        <v>2009</v>
      </c>
      <c r="AL1238">
        <f t="shared" si="59"/>
        <v>1</v>
      </c>
      <c r="AM1238" cm="1">
        <f t="array" aca="1" ref="AM1238" ca="1">IF(B1238="Yes",YEAR(TODAY()),BLANK())</f>
        <v>2025</v>
      </c>
      <c r="AN1238" t="str" cm="1">
        <f t="array" ref="AN1238" xml:space="preserve"> _xlfn.IFS(A1238&lt;25,"&lt;25",
A1238&lt;=35,"25-35",
A1238&lt;=45,"36-45",
TRUE,"45+"
)</f>
        <v>36-45</v>
      </c>
      <c r="AO1238" t="str" cm="1">
        <f t="array" ref="AO1238">_xlfn.IFS(S1238&lt;5000,"Low",
S1238&lt;=15000,"Medium",
TRUE,"High")</f>
        <v>Medium</v>
      </c>
    </row>
    <row r="1239" spans="1:41" hidden="1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 t="str">
        <f t="shared" si="57"/>
        <v>Resigned</v>
      </c>
      <c r="AK1239">
        <f t="shared" ca="1" si="58"/>
        <v>2015</v>
      </c>
      <c r="AL1239">
        <f t="shared" si="59"/>
        <v>1</v>
      </c>
      <c r="AM1239" cm="1">
        <f t="array" aca="1" ref="AM1239" ca="1">IF(B1239="Yes",YEAR(TODAY()),BLANK())</f>
        <v>2025</v>
      </c>
      <c r="AN1239" t="str" cm="1">
        <f t="array" ref="AN1239" xml:space="preserve"> _xlfn.IFS(A1239&lt;25,"&lt;25",
A1239&lt;=35,"25-35",
A1239&lt;=45,"36-45",
TRUE,"45+"
)</f>
        <v>25-35</v>
      </c>
      <c r="AO1239" t="str" cm="1">
        <f t="array" ref="AO1239">_xlfn.IFS(S1239&lt;5000,"Low",
S1239&lt;=15000,"Medium",
TRUE,"High")</f>
        <v>Medium</v>
      </c>
    </row>
    <row r="1240" spans="1:41" hidden="1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 t="str">
        <f t="shared" si="57"/>
        <v>Active</v>
      </c>
      <c r="AK1240">
        <f t="shared" ca="1" si="58"/>
        <v>2022</v>
      </c>
      <c r="AL1240">
        <f t="shared" si="59"/>
        <v>0</v>
      </c>
      <c r="AM1240" t="e" cm="1">
        <f t="array" aca="1" ref="AM1240" ca="1">IF(B1240="Yes",YEAR(TODAY()),BLANK())</f>
        <v>#NAME?</v>
      </c>
      <c r="AN1240" t="str" cm="1">
        <f t="array" ref="AN1240" xml:space="preserve"> _xlfn.IFS(A1240&lt;25,"&lt;25",
A1240&lt;=35,"25-35",
A1240&lt;=45,"36-45",
TRUE,"45+"
)</f>
        <v>&lt;25</v>
      </c>
      <c r="AO1240" t="str" cm="1">
        <f t="array" ref="AO1240">_xlfn.IFS(S1240&lt;5000,"Low",
S1240&lt;=15000,"Medium",
TRUE,"High")</f>
        <v>Low</v>
      </c>
    </row>
    <row r="1241" spans="1:41" hidden="1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 t="str">
        <f t="shared" si="57"/>
        <v>Active</v>
      </c>
      <c r="AK1241">
        <f t="shared" ca="1" si="58"/>
        <v>2016</v>
      </c>
      <c r="AL1241">
        <f t="shared" si="59"/>
        <v>0</v>
      </c>
      <c r="AM1241" t="e" cm="1">
        <f t="array" aca="1" ref="AM1241" ca="1">IF(B1241="Yes",YEAR(TODAY()),BLANK())</f>
        <v>#NAME?</v>
      </c>
      <c r="AN1241" t="str" cm="1">
        <f t="array" ref="AN1241" xml:space="preserve"> _xlfn.IFS(A1241&lt;25,"&lt;25",
A1241&lt;=35,"25-35",
A1241&lt;=45,"36-45",
TRUE,"45+"
)</f>
        <v>25-35</v>
      </c>
      <c r="AO1241" t="str" cm="1">
        <f t="array" ref="AO1241">_xlfn.IFS(S1241&lt;5000,"Low",
S1241&lt;=15000,"Medium",
TRUE,"High")</f>
        <v>Medium</v>
      </c>
    </row>
    <row r="1242" spans="1:41" hidden="1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 t="str">
        <f t="shared" si="57"/>
        <v>Active</v>
      </c>
      <c r="AK1242">
        <f t="shared" ca="1" si="58"/>
        <v>2016</v>
      </c>
      <c r="AL1242">
        <f t="shared" si="59"/>
        <v>0</v>
      </c>
      <c r="AM1242" t="e" cm="1">
        <f t="array" aca="1" ref="AM1242" ca="1">IF(B1242="Yes",YEAR(TODAY()),BLANK())</f>
        <v>#NAME?</v>
      </c>
      <c r="AN1242" t="str" cm="1">
        <f t="array" ref="AN1242" xml:space="preserve"> _xlfn.IFS(A1242&lt;25,"&lt;25",
A1242&lt;=35,"25-35",
A1242&lt;=45,"36-45",
TRUE,"45+"
)</f>
        <v>36-45</v>
      </c>
      <c r="AO1242" t="str" cm="1">
        <f t="array" ref="AO1242">_xlfn.IFS(S1242&lt;5000,"Low",
S1242&lt;=15000,"Medium",
TRUE,"High")</f>
        <v>Medium</v>
      </c>
    </row>
    <row r="1243" spans="1:41" hidden="1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 t="str">
        <f t="shared" si="57"/>
        <v>Active</v>
      </c>
      <c r="AK1243">
        <f t="shared" ca="1" si="58"/>
        <v>2015</v>
      </c>
      <c r="AL1243">
        <f t="shared" si="59"/>
        <v>0</v>
      </c>
      <c r="AM1243" t="e" cm="1">
        <f t="array" aca="1" ref="AM1243" ca="1">IF(B1243="Yes",YEAR(TODAY()),BLANK())</f>
        <v>#NAME?</v>
      </c>
      <c r="AN1243" t="str" cm="1">
        <f t="array" ref="AN1243" xml:space="preserve"> _xlfn.IFS(A1243&lt;25,"&lt;25",
A1243&lt;=35,"25-35",
A1243&lt;=45,"36-45",
TRUE,"45+"
)</f>
        <v>25-35</v>
      </c>
      <c r="AO1243" t="str" cm="1">
        <f t="array" ref="AO1243">_xlfn.IFS(S1243&lt;5000,"Low",
S1243&lt;=15000,"Medium",
TRUE,"High")</f>
        <v>Medium</v>
      </c>
    </row>
    <row r="1244" spans="1:41" hidden="1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 t="str">
        <f t="shared" si="57"/>
        <v>Active</v>
      </c>
      <c r="AK1244">
        <f t="shared" ca="1" si="58"/>
        <v>2004</v>
      </c>
      <c r="AL1244">
        <f t="shared" si="59"/>
        <v>0</v>
      </c>
      <c r="AM1244" t="e" cm="1">
        <f t="array" aca="1" ref="AM1244" ca="1">IF(B1244="Yes",YEAR(TODAY()),BLANK())</f>
        <v>#NAME?</v>
      </c>
      <c r="AN1244" t="str" cm="1">
        <f t="array" ref="AN1244" xml:space="preserve"> _xlfn.IFS(A1244&lt;25,"&lt;25",
A1244&lt;=35,"25-35",
A1244&lt;=45,"36-45",
TRUE,"45+"
)</f>
        <v>36-45</v>
      </c>
      <c r="AO1244" t="str" cm="1">
        <f t="array" ref="AO1244">_xlfn.IFS(S1244&lt;5000,"Low",
S1244&lt;=15000,"Medium",
TRUE,"High")</f>
        <v>High</v>
      </c>
    </row>
    <row r="1245" spans="1:41" hidden="1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 t="str">
        <f t="shared" si="57"/>
        <v>Active</v>
      </c>
      <c r="AK1245">
        <f t="shared" ca="1" si="58"/>
        <v>2016</v>
      </c>
      <c r="AL1245">
        <f t="shared" si="59"/>
        <v>0</v>
      </c>
      <c r="AM1245" t="e" cm="1">
        <f t="array" aca="1" ref="AM1245" ca="1">IF(B1245="Yes",YEAR(TODAY()),BLANK())</f>
        <v>#NAME?</v>
      </c>
      <c r="AN1245" t="str" cm="1">
        <f t="array" ref="AN1245" xml:space="preserve"> _xlfn.IFS(A1245&lt;25,"&lt;25",
A1245&lt;=35,"25-35",
A1245&lt;=45,"36-45",
TRUE,"45+"
)</f>
        <v>36-45</v>
      </c>
      <c r="AO1245" t="str" cm="1">
        <f t="array" ref="AO1245">_xlfn.IFS(S1245&lt;5000,"Low",
S1245&lt;=15000,"Medium",
TRUE,"High")</f>
        <v>Medium</v>
      </c>
    </row>
    <row r="1246" spans="1:41" hidden="1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 t="str">
        <f t="shared" si="57"/>
        <v>Active</v>
      </c>
      <c r="AK1246">
        <f t="shared" ca="1" si="58"/>
        <v>2015</v>
      </c>
      <c r="AL1246">
        <f t="shared" si="59"/>
        <v>0</v>
      </c>
      <c r="AM1246" t="e" cm="1">
        <f t="array" aca="1" ref="AM1246" ca="1">IF(B1246="Yes",YEAR(TODAY()),BLANK())</f>
        <v>#NAME?</v>
      </c>
      <c r="AN1246" t="str" cm="1">
        <f t="array" ref="AN1246" xml:space="preserve"> _xlfn.IFS(A1246&lt;25,"&lt;25",
A1246&lt;=35,"25-35",
A1246&lt;=45,"36-45",
TRUE,"45+"
)</f>
        <v>25-35</v>
      </c>
      <c r="AO1246" t="str" cm="1">
        <f t="array" ref="AO1246">_xlfn.IFS(S1246&lt;5000,"Low",
S1246&lt;=15000,"Medium",
TRUE,"High")</f>
        <v>Low</v>
      </c>
    </row>
    <row r="1247" spans="1:41" hidden="1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 t="str">
        <f t="shared" si="57"/>
        <v>Active</v>
      </c>
      <c r="AK1247">
        <f t="shared" ca="1" si="58"/>
        <v>2022</v>
      </c>
      <c r="AL1247">
        <f t="shared" si="59"/>
        <v>0</v>
      </c>
      <c r="AM1247" t="e" cm="1">
        <f t="array" aca="1" ref="AM1247" ca="1">IF(B1247="Yes",YEAR(TODAY()),BLANK())</f>
        <v>#NAME?</v>
      </c>
      <c r="AN1247" t="str" cm="1">
        <f t="array" ref="AN1247" xml:space="preserve"> _xlfn.IFS(A1247&lt;25,"&lt;25",
A1247&lt;=35,"25-35",
A1247&lt;=45,"36-45",
TRUE,"45+"
)</f>
        <v>&lt;25</v>
      </c>
      <c r="AO1247" t="str" cm="1">
        <f t="array" ref="AO1247">_xlfn.IFS(S1247&lt;5000,"Low",
S1247&lt;=15000,"Medium",
TRUE,"High")</f>
        <v>Low</v>
      </c>
    </row>
    <row r="1248" spans="1:41" hidden="1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 t="str">
        <f t="shared" si="57"/>
        <v>Resigned</v>
      </c>
      <c r="AK1248">
        <f t="shared" ca="1" si="58"/>
        <v>2019</v>
      </c>
      <c r="AL1248">
        <f t="shared" si="59"/>
        <v>1</v>
      </c>
      <c r="AM1248" cm="1">
        <f t="array" aca="1" ref="AM1248" ca="1">IF(B1248="Yes",YEAR(TODAY()),BLANK())</f>
        <v>2025</v>
      </c>
      <c r="AN1248" t="str" cm="1">
        <f t="array" ref="AN1248" xml:space="preserve"> _xlfn.IFS(A1248&lt;25,"&lt;25",
A1248&lt;=35,"25-35",
A1248&lt;=45,"36-45",
TRUE,"45+"
)</f>
        <v>25-35</v>
      </c>
      <c r="AO1248" t="str" cm="1">
        <f t="array" ref="AO1248">_xlfn.IFS(S1248&lt;5000,"Low",
S1248&lt;=15000,"Medium",
TRUE,"High")</f>
        <v>Low</v>
      </c>
    </row>
    <row r="1249" spans="1:41" hidden="1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 t="str">
        <f t="shared" si="57"/>
        <v>Active</v>
      </c>
      <c r="AK1249">
        <f t="shared" ca="1" si="58"/>
        <v>2019</v>
      </c>
      <c r="AL1249">
        <f t="shared" si="59"/>
        <v>0</v>
      </c>
      <c r="AM1249" t="e" cm="1">
        <f t="array" aca="1" ref="AM1249" ca="1">IF(B1249="Yes",YEAR(TODAY()),BLANK())</f>
        <v>#NAME?</v>
      </c>
      <c r="AN1249" t="str" cm="1">
        <f t="array" ref="AN1249" xml:space="preserve"> _xlfn.IFS(A1249&lt;25,"&lt;25",
A1249&lt;=35,"25-35",
A1249&lt;=45,"36-45",
TRUE,"45+"
)</f>
        <v>25-35</v>
      </c>
      <c r="AO1249" t="str" cm="1">
        <f t="array" ref="AO1249">_xlfn.IFS(S1249&lt;5000,"Low",
S1249&lt;=15000,"Medium",
TRUE,"High")</f>
        <v>Medium</v>
      </c>
    </row>
    <row r="1250" spans="1:41" hidden="1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 t="str">
        <f t="shared" si="57"/>
        <v>Active</v>
      </c>
      <c r="AK1250">
        <f t="shared" ca="1" si="58"/>
        <v>2019</v>
      </c>
      <c r="AL1250">
        <f t="shared" si="59"/>
        <v>0</v>
      </c>
      <c r="AM1250" t="e" cm="1">
        <f t="array" aca="1" ref="AM1250" ca="1">IF(B1250="Yes",YEAR(TODAY()),BLANK())</f>
        <v>#NAME?</v>
      </c>
      <c r="AN1250" t="str" cm="1">
        <f t="array" ref="AN1250" xml:space="preserve"> _xlfn.IFS(A1250&lt;25,"&lt;25",
A1250&lt;=35,"25-35",
A1250&lt;=45,"36-45",
TRUE,"45+"
)</f>
        <v>25-35</v>
      </c>
      <c r="AO1250" t="str" cm="1">
        <f t="array" ref="AO1250">_xlfn.IFS(S1250&lt;5000,"Low",
S1250&lt;=15000,"Medium",
TRUE,"High")</f>
        <v>Low</v>
      </c>
    </row>
    <row r="1251" spans="1:41" hidden="1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 t="str">
        <f t="shared" si="57"/>
        <v>Resigned</v>
      </c>
      <c r="AK1251">
        <f t="shared" ca="1" si="58"/>
        <v>2023</v>
      </c>
      <c r="AL1251">
        <f t="shared" si="59"/>
        <v>1</v>
      </c>
      <c r="AM1251" cm="1">
        <f t="array" aca="1" ref="AM1251" ca="1">IF(B1251="Yes",YEAR(TODAY()),BLANK())</f>
        <v>2025</v>
      </c>
      <c r="AN1251" t="str" cm="1">
        <f t="array" ref="AN1251" xml:space="preserve"> _xlfn.IFS(A1251&lt;25,"&lt;25",
A1251&lt;=35,"25-35",
A1251&lt;=45,"36-45",
TRUE,"45+"
)</f>
        <v>25-35</v>
      </c>
      <c r="AO1251" t="str" cm="1">
        <f t="array" ref="AO1251">_xlfn.IFS(S1251&lt;5000,"Low",
S1251&lt;=15000,"Medium",
TRUE,"High")</f>
        <v>Low</v>
      </c>
    </row>
    <row r="1252" spans="1:41" hidden="1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 t="str">
        <f t="shared" si="57"/>
        <v>Active</v>
      </c>
      <c r="AK1252">
        <f t="shared" ca="1" si="58"/>
        <v>2015</v>
      </c>
      <c r="AL1252">
        <f t="shared" si="59"/>
        <v>0</v>
      </c>
      <c r="AM1252" t="e" cm="1">
        <f t="array" aca="1" ref="AM1252" ca="1">IF(B1252="Yes",YEAR(TODAY()),BLANK())</f>
        <v>#NAME?</v>
      </c>
      <c r="AN1252" t="str" cm="1">
        <f t="array" ref="AN1252" xml:space="preserve"> _xlfn.IFS(A1252&lt;25,"&lt;25",
A1252&lt;=35,"25-35",
A1252&lt;=45,"36-45",
TRUE,"45+"
)</f>
        <v>25-35</v>
      </c>
      <c r="AO1252" t="str" cm="1">
        <f t="array" ref="AO1252">_xlfn.IFS(S1252&lt;5000,"Low",
S1252&lt;=15000,"Medium",
TRUE,"High")</f>
        <v>Medium</v>
      </c>
    </row>
    <row r="1253" spans="1:41" hidden="1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 t="str">
        <f t="shared" si="57"/>
        <v>Active</v>
      </c>
      <c r="AK1253">
        <f t="shared" ca="1" si="58"/>
        <v>2013</v>
      </c>
      <c r="AL1253">
        <f t="shared" si="59"/>
        <v>0</v>
      </c>
      <c r="AM1253" t="e" cm="1">
        <f t="array" aca="1" ref="AM1253" ca="1">IF(B1253="Yes",YEAR(TODAY()),BLANK())</f>
        <v>#NAME?</v>
      </c>
      <c r="AN1253" t="str" cm="1">
        <f t="array" ref="AN1253" xml:space="preserve"> _xlfn.IFS(A1253&lt;25,"&lt;25",
A1253&lt;=35,"25-35",
A1253&lt;=45,"36-45",
TRUE,"45+"
)</f>
        <v>25-35</v>
      </c>
      <c r="AO1253" t="str" cm="1">
        <f t="array" ref="AO1253">_xlfn.IFS(S1253&lt;5000,"Low",
S1253&lt;=15000,"Medium",
TRUE,"High")</f>
        <v>Medium</v>
      </c>
    </row>
    <row r="1254" spans="1:41" hidden="1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 t="str">
        <f t="shared" si="57"/>
        <v>Active</v>
      </c>
      <c r="AK1254">
        <f t="shared" ca="1" si="58"/>
        <v>2019</v>
      </c>
      <c r="AL1254">
        <f t="shared" si="59"/>
        <v>0</v>
      </c>
      <c r="AM1254" t="e" cm="1">
        <f t="array" aca="1" ref="AM1254" ca="1">IF(B1254="Yes",YEAR(TODAY()),BLANK())</f>
        <v>#NAME?</v>
      </c>
      <c r="AN1254" t="str" cm="1">
        <f t="array" ref="AN1254" xml:space="preserve"> _xlfn.IFS(A1254&lt;25,"&lt;25",
A1254&lt;=35,"25-35",
A1254&lt;=45,"36-45",
TRUE,"45+"
)</f>
        <v>25-35</v>
      </c>
      <c r="AO1254" t="str" cm="1">
        <f t="array" ref="AO1254">_xlfn.IFS(S1254&lt;5000,"Low",
S1254&lt;=15000,"Medium",
TRUE,"High")</f>
        <v>Low</v>
      </c>
    </row>
    <row r="1255" spans="1:41" hidden="1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 t="str">
        <f t="shared" si="57"/>
        <v>Active</v>
      </c>
      <c r="AK1255">
        <f t="shared" ca="1" si="58"/>
        <v>2012</v>
      </c>
      <c r="AL1255">
        <f t="shared" si="59"/>
        <v>0</v>
      </c>
      <c r="AM1255" t="e" cm="1">
        <f t="array" aca="1" ref="AM1255" ca="1">IF(B1255="Yes",YEAR(TODAY()),BLANK())</f>
        <v>#NAME?</v>
      </c>
      <c r="AN1255" t="str" cm="1">
        <f t="array" ref="AN1255" xml:space="preserve"> _xlfn.IFS(A1255&lt;25,"&lt;25",
A1255&lt;=35,"25-35",
A1255&lt;=45,"36-45",
TRUE,"45+"
)</f>
        <v>25-35</v>
      </c>
      <c r="AO1255" t="str" cm="1">
        <f t="array" ref="AO1255">_xlfn.IFS(S1255&lt;5000,"Low",
S1255&lt;=15000,"Medium",
TRUE,"High")</f>
        <v>Medium</v>
      </c>
    </row>
    <row r="1256" spans="1:41" hidden="1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 t="str">
        <f t="shared" si="57"/>
        <v>Active</v>
      </c>
      <c r="AK1256">
        <f t="shared" ca="1" si="58"/>
        <v>2017</v>
      </c>
      <c r="AL1256">
        <f t="shared" si="59"/>
        <v>0</v>
      </c>
      <c r="AM1256" t="e" cm="1">
        <f t="array" aca="1" ref="AM1256" ca="1">IF(B1256="Yes",YEAR(TODAY()),BLANK())</f>
        <v>#NAME?</v>
      </c>
      <c r="AN1256" t="str" cm="1">
        <f t="array" ref="AN1256" xml:space="preserve"> _xlfn.IFS(A1256&lt;25,"&lt;25",
A1256&lt;=35,"25-35",
A1256&lt;=45,"36-45",
TRUE,"45+"
)</f>
        <v>45+</v>
      </c>
      <c r="AO1256" t="str" cm="1">
        <f t="array" ref="AO1256">_xlfn.IFS(S1256&lt;5000,"Low",
S1256&lt;=15000,"Medium",
TRUE,"High")</f>
        <v>Low</v>
      </c>
    </row>
    <row r="1257" spans="1:41" hidden="1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 t="str">
        <f t="shared" si="57"/>
        <v>Resigned</v>
      </c>
      <c r="AK1257">
        <f t="shared" ca="1" si="58"/>
        <v>2014</v>
      </c>
      <c r="AL1257">
        <f t="shared" si="59"/>
        <v>1</v>
      </c>
      <c r="AM1257" cm="1">
        <f t="array" aca="1" ref="AM1257" ca="1">IF(B1257="Yes",YEAR(TODAY()),BLANK())</f>
        <v>2025</v>
      </c>
      <c r="AN1257" t="str" cm="1">
        <f t="array" ref="AN1257" xml:space="preserve"> _xlfn.IFS(A1257&lt;25,"&lt;25",
A1257&lt;=35,"25-35",
A1257&lt;=45,"36-45",
TRUE,"45+"
)</f>
        <v>25-35</v>
      </c>
      <c r="AO1257" t="str" cm="1">
        <f t="array" ref="AO1257">_xlfn.IFS(S1257&lt;5000,"Low",
S1257&lt;=15000,"Medium",
TRUE,"High")</f>
        <v>Medium</v>
      </c>
    </row>
    <row r="1258" spans="1:41" hidden="1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 t="str">
        <f t="shared" si="57"/>
        <v>Active</v>
      </c>
      <c r="AK1258">
        <f t="shared" ca="1" si="58"/>
        <v>2016</v>
      </c>
      <c r="AL1258">
        <f t="shared" si="59"/>
        <v>0</v>
      </c>
      <c r="AM1258" t="e" cm="1">
        <f t="array" aca="1" ref="AM1258" ca="1">IF(B1258="Yes",YEAR(TODAY()),BLANK())</f>
        <v>#NAME?</v>
      </c>
      <c r="AN1258" t="str" cm="1">
        <f t="array" ref="AN1258" xml:space="preserve"> _xlfn.IFS(A1258&lt;25,"&lt;25",
A1258&lt;=35,"25-35",
A1258&lt;=45,"36-45",
TRUE,"45+"
)</f>
        <v>36-45</v>
      </c>
      <c r="AO1258" t="str" cm="1">
        <f t="array" ref="AO1258">_xlfn.IFS(S1258&lt;5000,"Low",
S1258&lt;=15000,"Medium",
TRUE,"High")</f>
        <v>Low</v>
      </c>
    </row>
    <row r="1259" spans="1:41" hidden="1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 t="str">
        <f t="shared" si="57"/>
        <v>Resigned</v>
      </c>
      <c r="AK1259">
        <f t="shared" ca="1" si="58"/>
        <v>2015</v>
      </c>
      <c r="AL1259">
        <f t="shared" si="59"/>
        <v>1</v>
      </c>
      <c r="AM1259" cm="1">
        <f t="array" aca="1" ref="AM1259" ca="1">IF(B1259="Yes",YEAR(TODAY()),BLANK())</f>
        <v>2025</v>
      </c>
      <c r="AN1259" t="str" cm="1">
        <f t="array" ref="AN1259" xml:space="preserve"> _xlfn.IFS(A1259&lt;25,"&lt;25",
A1259&lt;=35,"25-35",
A1259&lt;=45,"36-45",
TRUE,"45+"
)</f>
        <v>25-35</v>
      </c>
      <c r="AO1259" t="str" cm="1">
        <f t="array" ref="AO1259">_xlfn.IFS(S1259&lt;5000,"Low",
S1259&lt;=15000,"Medium",
TRUE,"High")</f>
        <v>Medium</v>
      </c>
    </row>
    <row r="1260" spans="1:41" hidden="1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 t="str">
        <f t="shared" si="57"/>
        <v>Active</v>
      </c>
      <c r="AK1260">
        <f t="shared" ca="1" si="58"/>
        <v>2024</v>
      </c>
      <c r="AL1260">
        <f t="shared" si="59"/>
        <v>0</v>
      </c>
      <c r="AM1260" t="e" cm="1">
        <f t="array" aca="1" ref="AM1260" ca="1">IF(B1260="Yes",YEAR(TODAY()),BLANK())</f>
        <v>#NAME?</v>
      </c>
      <c r="AN1260" t="str" cm="1">
        <f t="array" ref="AN1260" xml:space="preserve"> _xlfn.IFS(A1260&lt;25,"&lt;25",
A1260&lt;=35,"25-35",
A1260&lt;=45,"36-45",
TRUE,"45+"
)</f>
        <v>25-35</v>
      </c>
      <c r="AO1260" t="str" cm="1">
        <f t="array" ref="AO1260">_xlfn.IFS(S1260&lt;5000,"Low",
S1260&lt;=15000,"Medium",
TRUE,"High")</f>
        <v>Low</v>
      </c>
    </row>
    <row r="1261" spans="1:41" hidden="1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 t="str">
        <f t="shared" si="57"/>
        <v>Active</v>
      </c>
      <c r="AK1261">
        <f t="shared" ca="1" si="58"/>
        <v>2015</v>
      </c>
      <c r="AL1261">
        <f t="shared" si="59"/>
        <v>0</v>
      </c>
      <c r="AM1261" t="e" cm="1">
        <f t="array" aca="1" ref="AM1261" ca="1">IF(B1261="Yes",YEAR(TODAY()),BLANK())</f>
        <v>#NAME?</v>
      </c>
      <c r="AN1261" t="str" cm="1">
        <f t="array" ref="AN1261" xml:space="preserve"> _xlfn.IFS(A1261&lt;25,"&lt;25",
A1261&lt;=35,"25-35",
A1261&lt;=45,"36-45",
TRUE,"45+"
)</f>
        <v>25-35</v>
      </c>
      <c r="AO1261" t="str" cm="1">
        <f t="array" ref="AO1261">_xlfn.IFS(S1261&lt;5000,"Low",
S1261&lt;=15000,"Medium",
TRUE,"High")</f>
        <v>Medium</v>
      </c>
    </row>
    <row r="1262" spans="1:41" hidden="1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 t="str">
        <f t="shared" si="57"/>
        <v>Active</v>
      </c>
      <c r="AK1262">
        <f t="shared" ca="1" si="58"/>
        <v>2013</v>
      </c>
      <c r="AL1262">
        <f t="shared" si="59"/>
        <v>0</v>
      </c>
      <c r="AM1262" t="e" cm="1">
        <f t="array" aca="1" ref="AM1262" ca="1">IF(B1262="Yes",YEAR(TODAY()),BLANK())</f>
        <v>#NAME?</v>
      </c>
      <c r="AN1262" t="str" cm="1">
        <f t="array" ref="AN1262" xml:space="preserve"> _xlfn.IFS(A1262&lt;25,"&lt;25",
A1262&lt;=35,"25-35",
A1262&lt;=45,"36-45",
TRUE,"45+"
)</f>
        <v>25-35</v>
      </c>
      <c r="AO1262" t="str" cm="1">
        <f t="array" ref="AO1262">_xlfn.IFS(S1262&lt;5000,"Low",
S1262&lt;=15000,"Medium",
TRUE,"High")</f>
        <v>Low</v>
      </c>
    </row>
    <row r="1263" spans="1:41" hidden="1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 t="str">
        <f t="shared" si="57"/>
        <v>Active</v>
      </c>
      <c r="AK1263">
        <f t="shared" ca="1" si="58"/>
        <v>2010</v>
      </c>
      <c r="AL1263">
        <f t="shared" si="59"/>
        <v>0</v>
      </c>
      <c r="AM1263" t="e" cm="1">
        <f t="array" aca="1" ref="AM1263" ca="1">IF(B1263="Yes",YEAR(TODAY()),BLANK())</f>
        <v>#NAME?</v>
      </c>
      <c r="AN1263" t="str" cm="1">
        <f t="array" ref="AN1263" xml:space="preserve"> _xlfn.IFS(A1263&lt;25,"&lt;25",
A1263&lt;=35,"25-35",
A1263&lt;=45,"36-45",
TRUE,"45+"
)</f>
        <v>36-45</v>
      </c>
      <c r="AO1263" t="str" cm="1">
        <f t="array" ref="AO1263">_xlfn.IFS(S1263&lt;5000,"Low",
S1263&lt;=15000,"Medium",
TRUE,"High")</f>
        <v>Medium</v>
      </c>
    </row>
    <row r="1264" spans="1:41" hidden="1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 t="str">
        <f t="shared" si="57"/>
        <v>Resigned</v>
      </c>
      <c r="AK1264">
        <f t="shared" ca="1" si="58"/>
        <v>2019</v>
      </c>
      <c r="AL1264">
        <f t="shared" si="59"/>
        <v>1</v>
      </c>
      <c r="AM1264" cm="1">
        <f t="array" aca="1" ref="AM1264" ca="1">IF(B1264="Yes",YEAR(TODAY()),BLANK())</f>
        <v>2025</v>
      </c>
      <c r="AN1264" t="str" cm="1">
        <f t="array" ref="AN1264" xml:space="preserve"> _xlfn.IFS(A1264&lt;25,"&lt;25",
A1264&lt;=35,"25-35",
A1264&lt;=45,"36-45",
TRUE,"45+"
)</f>
        <v>36-45</v>
      </c>
      <c r="AO1264" t="str" cm="1">
        <f t="array" ref="AO1264">_xlfn.IFS(S1264&lt;5000,"Low",
S1264&lt;=15000,"Medium",
TRUE,"High")</f>
        <v>Low</v>
      </c>
    </row>
    <row r="1265" spans="1:41" hidden="1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 t="str">
        <f t="shared" si="57"/>
        <v>Active</v>
      </c>
      <c r="AK1265">
        <f t="shared" ca="1" si="58"/>
        <v>2018</v>
      </c>
      <c r="AL1265">
        <f t="shared" si="59"/>
        <v>0</v>
      </c>
      <c r="AM1265" t="e" cm="1">
        <f t="array" aca="1" ref="AM1265" ca="1">IF(B1265="Yes",YEAR(TODAY()),BLANK())</f>
        <v>#NAME?</v>
      </c>
      <c r="AN1265" t="str" cm="1">
        <f t="array" ref="AN1265" xml:space="preserve"> _xlfn.IFS(A1265&lt;25,"&lt;25",
A1265&lt;=35,"25-35",
A1265&lt;=45,"36-45",
TRUE,"45+"
)</f>
        <v>36-45</v>
      </c>
      <c r="AO1265" t="str" cm="1">
        <f t="array" ref="AO1265">_xlfn.IFS(S1265&lt;5000,"Low",
S1265&lt;=15000,"Medium",
TRUE,"High")</f>
        <v>Low</v>
      </c>
    </row>
    <row r="1266" spans="1:41" hidden="1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 t="str">
        <f t="shared" si="57"/>
        <v>Active</v>
      </c>
      <c r="AK1266">
        <f t="shared" ca="1" si="58"/>
        <v>1991</v>
      </c>
      <c r="AL1266">
        <f t="shared" si="59"/>
        <v>0</v>
      </c>
      <c r="AM1266" t="e" cm="1">
        <f t="array" aca="1" ref="AM1266" ca="1">IF(B1266="Yes",YEAR(TODAY()),BLANK())</f>
        <v>#NAME?</v>
      </c>
      <c r="AN1266" t="str" cm="1">
        <f t="array" ref="AN1266" xml:space="preserve"> _xlfn.IFS(A1266&lt;25,"&lt;25",
A1266&lt;=35,"25-35",
A1266&lt;=45,"36-45",
TRUE,"45+"
)</f>
        <v>45+</v>
      </c>
      <c r="AO1266" t="str" cm="1">
        <f t="array" ref="AO1266">_xlfn.IFS(S1266&lt;5000,"Low",
S1266&lt;=15000,"Medium",
TRUE,"High")</f>
        <v>High</v>
      </c>
    </row>
    <row r="1267" spans="1:41" hidden="1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 t="str">
        <f t="shared" si="57"/>
        <v>Active</v>
      </c>
      <c r="AK1267">
        <f t="shared" ca="1" si="58"/>
        <v>2014</v>
      </c>
      <c r="AL1267">
        <f t="shared" si="59"/>
        <v>0</v>
      </c>
      <c r="AM1267" t="e" cm="1">
        <f t="array" aca="1" ref="AM1267" ca="1">IF(B1267="Yes",YEAR(TODAY()),BLANK())</f>
        <v>#NAME?</v>
      </c>
      <c r="AN1267" t="str" cm="1">
        <f t="array" ref="AN1267" xml:space="preserve"> _xlfn.IFS(A1267&lt;25,"&lt;25",
A1267&lt;=35,"25-35",
A1267&lt;=45,"36-45",
TRUE,"45+"
)</f>
        <v>25-35</v>
      </c>
      <c r="AO1267" t="str" cm="1">
        <f t="array" ref="AO1267">_xlfn.IFS(S1267&lt;5000,"Low",
S1267&lt;=15000,"Medium",
TRUE,"High")</f>
        <v>Low</v>
      </c>
    </row>
    <row r="1268" spans="1:41" hidden="1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 t="str">
        <f t="shared" si="57"/>
        <v>Active</v>
      </c>
      <c r="AK1268">
        <f t="shared" ca="1" si="58"/>
        <v>2020</v>
      </c>
      <c r="AL1268">
        <f t="shared" si="59"/>
        <v>0</v>
      </c>
      <c r="AM1268" t="e" cm="1">
        <f t="array" aca="1" ref="AM1268" ca="1">IF(B1268="Yes",YEAR(TODAY()),BLANK())</f>
        <v>#NAME?</v>
      </c>
      <c r="AN1268" t="str" cm="1">
        <f t="array" ref="AN1268" xml:space="preserve"> _xlfn.IFS(A1268&lt;25,"&lt;25",
A1268&lt;=35,"25-35",
A1268&lt;=45,"36-45",
TRUE,"45+"
)</f>
        <v>36-45</v>
      </c>
      <c r="AO1268" t="str" cm="1">
        <f t="array" ref="AO1268">_xlfn.IFS(S1268&lt;5000,"Low",
S1268&lt;=15000,"Medium",
TRUE,"High")</f>
        <v>Low</v>
      </c>
    </row>
    <row r="1269" spans="1:41" hidden="1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 t="str">
        <f t="shared" si="57"/>
        <v>Active</v>
      </c>
      <c r="AK1269">
        <f t="shared" ca="1" si="58"/>
        <v>2010</v>
      </c>
      <c r="AL1269">
        <f t="shared" si="59"/>
        <v>0</v>
      </c>
      <c r="AM1269" t="e" cm="1">
        <f t="array" aca="1" ref="AM1269" ca="1">IF(B1269="Yes",YEAR(TODAY()),BLANK())</f>
        <v>#NAME?</v>
      </c>
      <c r="AN1269" t="str" cm="1">
        <f t="array" ref="AN1269" xml:space="preserve"> _xlfn.IFS(A1269&lt;25,"&lt;25",
A1269&lt;=35,"25-35",
A1269&lt;=45,"36-45",
TRUE,"45+"
)</f>
        <v>25-35</v>
      </c>
      <c r="AO1269" t="str" cm="1">
        <f t="array" ref="AO1269">_xlfn.IFS(S1269&lt;5000,"Low",
S1269&lt;=15000,"Medium",
TRUE,"High")</f>
        <v>Low</v>
      </c>
    </row>
    <row r="1270" spans="1:41" hidden="1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 t="str">
        <f t="shared" si="57"/>
        <v>Active</v>
      </c>
      <c r="AK1270">
        <f t="shared" ca="1" si="58"/>
        <v>1998</v>
      </c>
      <c r="AL1270">
        <f t="shared" si="59"/>
        <v>0</v>
      </c>
      <c r="AM1270" t="e" cm="1">
        <f t="array" aca="1" ref="AM1270" ca="1">IF(B1270="Yes",YEAR(TODAY()),BLANK())</f>
        <v>#NAME?</v>
      </c>
      <c r="AN1270" t="str" cm="1">
        <f t="array" ref="AN1270" xml:space="preserve"> _xlfn.IFS(A1270&lt;25,"&lt;25",
A1270&lt;=35,"25-35",
A1270&lt;=45,"36-45",
TRUE,"45+"
)</f>
        <v>45+</v>
      </c>
      <c r="AO1270" t="str" cm="1">
        <f t="array" ref="AO1270">_xlfn.IFS(S1270&lt;5000,"Low",
S1270&lt;=15000,"Medium",
TRUE,"High")</f>
        <v>Medium</v>
      </c>
    </row>
    <row r="1271" spans="1:41" hidden="1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 t="str">
        <f t="shared" si="57"/>
        <v>Active</v>
      </c>
      <c r="AK1271">
        <f t="shared" ca="1" si="58"/>
        <v>2015</v>
      </c>
      <c r="AL1271">
        <f t="shared" si="59"/>
        <v>0</v>
      </c>
      <c r="AM1271" t="e" cm="1">
        <f t="array" aca="1" ref="AM1271" ca="1">IF(B1271="Yes",YEAR(TODAY()),BLANK())</f>
        <v>#NAME?</v>
      </c>
      <c r="AN1271" t="str" cm="1">
        <f t="array" ref="AN1271" xml:space="preserve"> _xlfn.IFS(A1271&lt;25,"&lt;25",
A1271&lt;=35,"25-35",
A1271&lt;=45,"36-45",
TRUE,"45+"
)</f>
        <v>36-45</v>
      </c>
      <c r="AO1271" t="str" cm="1">
        <f t="array" ref="AO1271">_xlfn.IFS(S1271&lt;5000,"Low",
S1271&lt;=15000,"Medium",
TRUE,"High")</f>
        <v>Low</v>
      </c>
    </row>
    <row r="1272" spans="1:41" hidden="1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 t="str">
        <f t="shared" si="57"/>
        <v>Active</v>
      </c>
      <c r="AK1272">
        <f t="shared" ca="1" si="58"/>
        <v>2019</v>
      </c>
      <c r="AL1272">
        <f t="shared" si="59"/>
        <v>0</v>
      </c>
      <c r="AM1272" t="e" cm="1">
        <f t="array" aca="1" ref="AM1272" ca="1">IF(B1272="Yes",YEAR(TODAY()),BLANK())</f>
        <v>#NAME?</v>
      </c>
      <c r="AN1272" t="str" cm="1">
        <f t="array" ref="AN1272" xml:space="preserve"> _xlfn.IFS(A1272&lt;25,"&lt;25",
A1272&lt;=35,"25-35",
A1272&lt;=45,"36-45",
TRUE,"45+"
)</f>
        <v>25-35</v>
      </c>
      <c r="AO1272" t="str" cm="1">
        <f t="array" ref="AO1272">_xlfn.IFS(S1272&lt;5000,"Low",
S1272&lt;=15000,"Medium",
TRUE,"High")</f>
        <v>Medium</v>
      </c>
    </row>
    <row r="1273" spans="1:41" hidden="1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 t="str">
        <f t="shared" si="57"/>
        <v>Resigned</v>
      </c>
      <c r="AK1273">
        <f t="shared" ca="1" si="58"/>
        <v>2024</v>
      </c>
      <c r="AL1273">
        <f t="shared" si="59"/>
        <v>1</v>
      </c>
      <c r="AM1273" cm="1">
        <f t="array" aca="1" ref="AM1273" ca="1">IF(B1273="Yes",YEAR(TODAY()),BLANK())</f>
        <v>2025</v>
      </c>
      <c r="AN1273" t="str" cm="1">
        <f t="array" ref="AN1273" xml:space="preserve"> _xlfn.IFS(A1273&lt;25,"&lt;25",
A1273&lt;=35,"25-35",
A1273&lt;=45,"36-45",
TRUE,"45+"
)</f>
        <v>&lt;25</v>
      </c>
      <c r="AO1273" t="str" cm="1">
        <f t="array" ref="AO1273">_xlfn.IFS(S1273&lt;5000,"Low",
S1273&lt;=15000,"Medium",
TRUE,"High")</f>
        <v>Low</v>
      </c>
    </row>
    <row r="1274" spans="1:41" hidden="1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 t="str">
        <f t="shared" si="57"/>
        <v>Active</v>
      </c>
      <c r="AK1274">
        <f t="shared" ca="1" si="58"/>
        <v>2020</v>
      </c>
      <c r="AL1274">
        <f t="shared" si="59"/>
        <v>0</v>
      </c>
      <c r="AM1274" t="e" cm="1">
        <f t="array" aca="1" ref="AM1274" ca="1">IF(B1274="Yes",YEAR(TODAY()),BLANK())</f>
        <v>#NAME?</v>
      </c>
      <c r="AN1274" t="str" cm="1">
        <f t="array" ref="AN1274" xml:space="preserve"> _xlfn.IFS(A1274&lt;25,"&lt;25",
A1274&lt;=35,"25-35",
A1274&lt;=45,"36-45",
TRUE,"45+"
)</f>
        <v>36-45</v>
      </c>
      <c r="AO1274" t="str" cm="1">
        <f t="array" ref="AO1274">_xlfn.IFS(S1274&lt;5000,"Low",
S1274&lt;=15000,"Medium",
TRUE,"High")</f>
        <v>Low</v>
      </c>
    </row>
    <row r="1275" spans="1:41" hidden="1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 t="str">
        <f t="shared" si="57"/>
        <v>Resigned</v>
      </c>
      <c r="AK1275">
        <f t="shared" ca="1" si="58"/>
        <v>2024</v>
      </c>
      <c r="AL1275">
        <f t="shared" si="59"/>
        <v>1</v>
      </c>
      <c r="AM1275" cm="1">
        <f t="array" aca="1" ref="AM1275" ca="1">IF(B1275="Yes",YEAR(TODAY()),BLANK())</f>
        <v>2025</v>
      </c>
      <c r="AN1275" t="str" cm="1">
        <f t="array" ref="AN1275" xml:space="preserve"> _xlfn.IFS(A1275&lt;25,"&lt;25",
A1275&lt;=35,"25-35",
A1275&lt;=45,"36-45",
TRUE,"45+"
)</f>
        <v>&lt;25</v>
      </c>
      <c r="AO1275" t="str" cm="1">
        <f t="array" ref="AO1275">_xlfn.IFS(S1275&lt;5000,"Low",
S1275&lt;=15000,"Medium",
TRUE,"High")</f>
        <v>Low</v>
      </c>
    </row>
    <row r="1276" spans="1:41" hidden="1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 t="str">
        <f t="shared" si="57"/>
        <v>Active</v>
      </c>
      <c r="AK1276">
        <f t="shared" ca="1" si="58"/>
        <v>2012</v>
      </c>
      <c r="AL1276">
        <f t="shared" si="59"/>
        <v>0</v>
      </c>
      <c r="AM1276" t="e" cm="1">
        <f t="array" aca="1" ref="AM1276" ca="1">IF(B1276="Yes",YEAR(TODAY()),BLANK())</f>
        <v>#NAME?</v>
      </c>
      <c r="AN1276" t="str" cm="1">
        <f t="array" ref="AN1276" xml:space="preserve"> _xlfn.IFS(A1276&lt;25,"&lt;25",
A1276&lt;=35,"25-35",
A1276&lt;=45,"36-45",
TRUE,"45+"
)</f>
        <v>25-35</v>
      </c>
      <c r="AO1276" t="str" cm="1">
        <f t="array" ref="AO1276">_xlfn.IFS(S1276&lt;5000,"Low",
S1276&lt;=15000,"Medium",
TRUE,"High")</f>
        <v>Medium</v>
      </c>
    </row>
    <row r="1277" spans="1:41" hidden="1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 t="str">
        <f t="shared" si="57"/>
        <v>Active</v>
      </c>
      <c r="AK1277">
        <f t="shared" ca="1" si="58"/>
        <v>2010</v>
      </c>
      <c r="AL1277">
        <f t="shared" si="59"/>
        <v>0</v>
      </c>
      <c r="AM1277" t="e" cm="1">
        <f t="array" aca="1" ref="AM1277" ca="1">IF(B1277="Yes",YEAR(TODAY()),BLANK())</f>
        <v>#NAME?</v>
      </c>
      <c r="AN1277" t="str" cm="1">
        <f t="array" ref="AN1277" xml:space="preserve"> _xlfn.IFS(A1277&lt;25,"&lt;25",
A1277&lt;=35,"25-35",
A1277&lt;=45,"36-45",
TRUE,"45+"
)</f>
        <v>45+</v>
      </c>
      <c r="AO1277" t="str" cm="1">
        <f t="array" ref="AO1277">_xlfn.IFS(S1277&lt;5000,"Low",
S1277&lt;=15000,"Medium",
TRUE,"High")</f>
        <v>Medium</v>
      </c>
    </row>
    <row r="1278" spans="1:41" hidden="1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 t="str">
        <f t="shared" si="57"/>
        <v>Active</v>
      </c>
      <c r="AK1278">
        <f t="shared" ca="1" si="58"/>
        <v>2020</v>
      </c>
      <c r="AL1278">
        <f t="shared" si="59"/>
        <v>0</v>
      </c>
      <c r="AM1278" t="e" cm="1">
        <f t="array" aca="1" ref="AM1278" ca="1">IF(B1278="Yes",YEAR(TODAY()),BLANK())</f>
        <v>#NAME?</v>
      </c>
      <c r="AN1278" t="str" cm="1">
        <f t="array" ref="AN1278" xml:space="preserve"> _xlfn.IFS(A1278&lt;25,"&lt;25",
A1278&lt;=35,"25-35",
A1278&lt;=45,"36-45",
TRUE,"45+"
)</f>
        <v>36-45</v>
      </c>
      <c r="AO1278" t="str" cm="1">
        <f t="array" ref="AO1278">_xlfn.IFS(S1278&lt;5000,"Low",
S1278&lt;=15000,"Medium",
TRUE,"High")</f>
        <v>Low</v>
      </c>
    </row>
    <row r="1279" spans="1:41" hidden="1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 t="str">
        <f t="shared" si="57"/>
        <v>Active</v>
      </c>
      <c r="AK1279">
        <f t="shared" ca="1" si="58"/>
        <v>2001</v>
      </c>
      <c r="AL1279">
        <f t="shared" si="59"/>
        <v>0</v>
      </c>
      <c r="AM1279" t="e" cm="1">
        <f t="array" aca="1" ref="AM1279" ca="1">IF(B1279="Yes",YEAR(TODAY()),BLANK())</f>
        <v>#NAME?</v>
      </c>
      <c r="AN1279" t="str" cm="1">
        <f t="array" ref="AN1279" xml:space="preserve"> _xlfn.IFS(A1279&lt;25,"&lt;25",
A1279&lt;=35,"25-35",
A1279&lt;=45,"36-45",
TRUE,"45+"
)</f>
        <v>45+</v>
      </c>
      <c r="AO1279" t="str" cm="1">
        <f t="array" ref="AO1279">_xlfn.IFS(S1279&lt;5000,"Low",
S1279&lt;=15000,"Medium",
TRUE,"High")</f>
        <v>High</v>
      </c>
    </row>
    <row r="1280" spans="1:41" hidden="1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 t="str">
        <f t="shared" si="57"/>
        <v>Active</v>
      </c>
      <c r="AK1280">
        <f t="shared" ca="1" si="58"/>
        <v>2010</v>
      </c>
      <c r="AL1280">
        <f t="shared" si="59"/>
        <v>0</v>
      </c>
      <c r="AM1280" t="e" cm="1">
        <f t="array" aca="1" ref="AM1280" ca="1">IF(B1280="Yes",YEAR(TODAY()),BLANK())</f>
        <v>#NAME?</v>
      </c>
      <c r="AN1280" t="str" cm="1">
        <f t="array" ref="AN1280" xml:space="preserve"> _xlfn.IFS(A1280&lt;25,"&lt;25",
A1280&lt;=35,"25-35",
A1280&lt;=45,"36-45",
TRUE,"45+"
)</f>
        <v>36-45</v>
      </c>
      <c r="AO1280" t="str" cm="1">
        <f t="array" ref="AO1280">_xlfn.IFS(S1280&lt;5000,"Low",
S1280&lt;=15000,"Medium",
TRUE,"High")</f>
        <v>Medium</v>
      </c>
    </row>
    <row r="1281" spans="1:41" hidden="1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 t="str">
        <f t="shared" si="57"/>
        <v>Resigned</v>
      </c>
      <c r="AK1281">
        <f t="shared" ca="1" si="58"/>
        <v>2019</v>
      </c>
      <c r="AL1281">
        <f t="shared" si="59"/>
        <v>1</v>
      </c>
      <c r="AM1281" cm="1">
        <f t="array" aca="1" ref="AM1281" ca="1">IF(B1281="Yes",YEAR(TODAY()),BLANK())</f>
        <v>2025</v>
      </c>
      <c r="AN1281" t="str" cm="1">
        <f t="array" ref="AN1281" xml:space="preserve"> _xlfn.IFS(A1281&lt;25,"&lt;25",
A1281&lt;=35,"25-35",
A1281&lt;=45,"36-45",
TRUE,"45+"
)</f>
        <v>36-45</v>
      </c>
      <c r="AO1281" t="str" cm="1">
        <f t="array" ref="AO1281">_xlfn.IFS(S1281&lt;5000,"Low",
S1281&lt;=15000,"Medium",
TRUE,"High")</f>
        <v>Low</v>
      </c>
    </row>
    <row r="1282" spans="1:41" hidden="1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 t="str">
        <f t="shared" si="57"/>
        <v>Active</v>
      </c>
      <c r="AK1282">
        <f t="shared" ca="1" si="58"/>
        <v>2006</v>
      </c>
      <c r="AL1282">
        <f t="shared" si="59"/>
        <v>0</v>
      </c>
      <c r="AM1282" t="e" cm="1">
        <f t="array" aca="1" ref="AM1282" ca="1">IF(B1282="Yes",YEAR(TODAY()),BLANK())</f>
        <v>#NAME?</v>
      </c>
      <c r="AN1282" t="str" cm="1">
        <f t="array" ref="AN1282" xml:space="preserve"> _xlfn.IFS(A1282&lt;25,"&lt;25",
A1282&lt;=35,"25-35",
A1282&lt;=45,"36-45",
TRUE,"45+"
)</f>
        <v>36-45</v>
      </c>
      <c r="AO1282" t="str" cm="1">
        <f t="array" ref="AO1282">_xlfn.IFS(S1282&lt;5000,"Low",
S1282&lt;=15000,"Medium",
TRUE,"High")</f>
        <v>Low</v>
      </c>
    </row>
    <row r="1283" spans="1:41" hidden="1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 t="str">
        <f t="shared" ref="AJ1283:AJ1346" si="60">IF(B1283="Yes", "Resigned","Active")</f>
        <v>Resigned</v>
      </c>
      <c r="AK1283">
        <f t="shared" ref="AK1283:AK1346" ca="1" si="61">YEAR(TODAY()) - AC1283</f>
        <v>2015</v>
      </c>
      <c r="AL1283">
        <f t="shared" ref="AL1283:AL1346" si="62">IF(B1283="Yes",1,0)</f>
        <v>1</v>
      </c>
      <c r="AM1283" cm="1">
        <f t="array" aca="1" ref="AM1283" ca="1">IF(B1283="Yes",YEAR(TODAY()),BLANK())</f>
        <v>2025</v>
      </c>
      <c r="AN1283" t="str" cm="1">
        <f t="array" ref="AN1283" xml:space="preserve"> _xlfn.IFS(A1283&lt;25,"&lt;25",
A1283&lt;=35,"25-35",
A1283&lt;=45,"36-45",
TRUE,"45+"
)</f>
        <v>25-35</v>
      </c>
      <c r="AO1283" t="str" cm="1">
        <f t="array" ref="AO1283">_xlfn.IFS(S1283&lt;5000,"Low",
S1283&lt;=15000,"Medium",
TRUE,"High")</f>
        <v>Medium</v>
      </c>
    </row>
    <row r="1284" spans="1:41" hidden="1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 t="str">
        <f t="shared" si="60"/>
        <v>Active</v>
      </c>
      <c r="AK1284">
        <f t="shared" ca="1" si="61"/>
        <v>2011</v>
      </c>
      <c r="AL1284">
        <f t="shared" si="62"/>
        <v>0</v>
      </c>
      <c r="AM1284" t="e" cm="1">
        <f t="array" aca="1" ref="AM1284" ca="1">IF(B1284="Yes",YEAR(TODAY()),BLANK())</f>
        <v>#NAME?</v>
      </c>
      <c r="AN1284" t="str" cm="1">
        <f t="array" ref="AN1284" xml:space="preserve"> _xlfn.IFS(A1284&lt;25,"&lt;25",
A1284&lt;=35,"25-35",
A1284&lt;=45,"36-45",
TRUE,"45+"
)</f>
        <v>25-35</v>
      </c>
      <c r="AO1284" t="str" cm="1">
        <f t="array" ref="AO1284">_xlfn.IFS(S1284&lt;5000,"Low",
S1284&lt;=15000,"Medium",
TRUE,"High")</f>
        <v>Low</v>
      </c>
    </row>
    <row r="1285" spans="1:41" hidden="1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 t="str">
        <f t="shared" si="60"/>
        <v>Active</v>
      </c>
      <c r="AK1285">
        <f t="shared" ca="1" si="61"/>
        <v>2020</v>
      </c>
      <c r="AL1285">
        <f t="shared" si="62"/>
        <v>0</v>
      </c>
      <c r="AM1285" t="e" cm="1">
        <f t="array" aca="1" ref="AM1285" ca="1">IF(B1285="Yes",YEAR(TODAY()),BLANK())</f>
        <v>#NAME?</v>
      </c>
      <c r="AN1285" t="str" cm="1">
        <f t="array" ref="AN1285" xml:space="preserve"> _xlfn.IFS(A1285&lt;25,"&lt;25",
A1285&lt;=35,"25-35",
A1285&lt;=45,"36-45",
TRUE,"45+"
)</f>
        <v>25-35</v>
      </c>
      <c r="AO1285" t="str" cm="1">
        <f t="array" ref="AO1285">_xlfn.IFS(S1285&lt;5000,"Low",
S1285&lt;=15000,"Medium",
TRUE,"High")</f>
        <v>Low</v>
      </c>
    </row>
    <row r="1286" spans="1:41" hidden="1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 t="str">
        <f t="shared" si="60"/>
        <v>Active</v>
      </c>
      <c r="AK1286">
        <f t="shared" ca="1" si="61"/>
        <v>2016</v>
      </c>
      <c r="AL1286">
        <f t="shared" si="62"/>
        <v>0</v>
      </c>
      <c r="AM1286" t="e" cm="1">
        <f t="array" aca="1" ref="AM1286" ca="1">IF(B1286="Yes",YEAR(TODAY()),BLANK())</f>
        <v>#NAME?</v>
      </c>
      <c r="AN1286" t="str" cm="1">
        <f t="array" ref="AN1286" xml:space="preserve"> _xlfn.IFS(A1286&lt;25,"&lt;25",
A1286&lt;=35,"25-35",
A1286&lt;=45,"36-45",
TRUE,"45+"
)</f>
        <v>36-45</v>
      </c>
      <c r="AO1286" t="str" cm="1">
        <f t="array" ref="AO1286">_xlfn.IFS(S1286&lt;5000,"Low",
S1286&lt;=15000,"Medium",
TRUE,"High")</f>
        <v>Medium</v>
      </c>
    </row>
    <row r="1287" spans="1:41" hidden="1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 t="str">
        <f t="shared" si="60"/>
        <v>Active</v>
      </c>
      <c r="AK1287">
        <f t="shared" ca="1" si="61"/>
        <v>2019</v>
      </c>
      <c r="AL1287">
        <f t="shared" si="62"/>
        <v>0</v>
      </c>
      <c r="AM1287" t="e" cm="1">
        <f t="array" aca="1" ref="AM1287" ca="1">IF(B1287="Yes",YEAR(TODAY()),BLANK())</f>
        <v>#NAME?</v>
      </c>
      <c r="AN1287" t="str" cm="1">
        <f t="array" ref="AN1287" xml:space="preserve"> _xlfn.IFS(A1287&lt;25,"&lt;25",
A1287&lt;=35,"25-35",
A1287&lt;=45,"36-45",
TRUE,"45+"
)</f>
        <v>45+</v>
      </c>
      <c r="AO1287" t="str" cm="1">
        <f t="array" ref="AO1287">_xlfn.IFS(S1287&lt;5000,"Low",
S1287&lt;=15000,"Medium",
TRUE,"High")</f>
        <v>Medium</v>
      </c>
    </row>
    <row r="1288" spans="1:41" hidden="1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 t="str">
        <f t="shared" si="60"/>
        <v>Active</v>
      </c>
      <c r="AK1288">
        <f t="shared" ca="1" si="61"/>
        <v>2018</v>
      </c>
      <c r="AL1288">
        <f t="shared" si="62"/>
        <v>0</v>
      </c>
      <c r="AM1288" t="e" cm="1">
        <f t="array" aca="1" ref="AM1288" ca="1">IF(B1288="Yes",YEAR(TODAY()),BLANK())</f>
        <v>#NAME?</v>
      </c>
      <c r="AN1288" t="str" cm="1">
        <f t="array" ref="AN1288" xml:space="preserve"> _xlfn.IFS(A1288&lt;25,"&lt;25",
A1288&lt;=35,"25-35",
A1288&lt;=45,"36-45",
TRUE,"45+"
)</f>
        <v>36-45</v>
      </c>
      <c r="AO1288" t="str" cm="1">
        <f t="array" ref="AO1288">_xlfn.IFS(S1288&lt;5000,"Low",
S1288&lt;=15000,"Medium",
TRUE,"High")</f>
        <v>Low</v>
      </c>
    </row>
    <row r="1289" spans="1:41" hidden="1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 t="str">
        <f t="shared" si="60"/>
        <v>Active</v>
      </c>
      <c r="AK1289">
        <f t="shared" ca="1" si="61"/>
        <v>2015</v>
      </c>
      <c r="AL1289">
        <f t="shared" si="62"/>
        <v>0</v>
      </c>
      <c r="AM1289" t="e" cm="1">
        <f t="array" aca="1" ref="AM1289" ca="1">IF(B1289="Yes",YEAR(TODAY()),BLANK())</f>
        <v>#NAME?</v>
      </c>
      <c r="AN1289" t="str" cm="1">
        <f t="array" ref="AN1289" xml:space="preserve"> _xlfn.IFS(A1289&lt;25,"&lt;25",
A1289&lt;=35,"25-35",
A1289&lt;=45,"36-45",
TRUE,"45+"
)</f>
        <v>36-45</v>
      </c>
      <c r="AO1289" t="str" cm="1">
        <f t="array" ref="AO1289">_xlfn.IFS(S1289&lt;5000,"Low",
S1289&lt;=15000,"Medium",
TRUE,"High")</f>
        <v>Medium</v>
      </c>
    </row>
    <row r="1290" spans="1:41" hidden="1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 t="str">
        <f t="shared" si="60"/>
        <v>Active</v>
      </c>
      <c r="AK1290">
        <f t="shared" ca="1" si="61"/>
        <v>2010</v>
      </c>
      <c r="AL1290">
        <f t="shared" si="62"/>
        <v>0</v>
      </c>
      <c r="AM1290" t="e" cm="1">
        <f t="array" aca="1" ref="AM1290" ca="1">IF(B1290="Yes",YEAR(TODAY()),BLANK())</f>
        <v>#NAME?</v>
      </c>
      <c r="AN1290" t="str" cm="1">
        <f t="array" ref="AN1290" xml:space="preserve"> _xlfn.IFS(A1290&lt;25,"&lt;25",
A1290&lt;=35,"25-35",
A1290&lt;=45,"36-45",
TRUE,"45+"
)</f>
        <v>25-35</v>
      </c>
      <c r="AO1290" t="str" cm="1">
        <f t="array" ref="AO1290">_xlfn.IFS(S1290&lt;5000,"Low",
S1290&lt;=15000,"Medium",
TRUE,"High")</f>
        <v>Medium</v>
      </c>
    </row>
    <row r="1291" spans="1:41" hidden="1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 t="str">
        <f t="shared" si="60"/>
        <v>Active</v>
      </c>
      <c r="AK1291">
        <f t="shared" ca="1" si="61"/>
        <v>2012</v>
      </c>
      <c r="AL1291">
        <f t="shared" si="62"/>
        <v>0</v>
      </c>
      <c r="AM1291" t="e" cm="1">
        <f t="array" aca="1" ref="AM1291" ca="1">IF(B1291="Yes",YEAR(TODAY()),BLANK())</f>
        <v>#NAME?</v>
      </c>
      <c r="AN1291" t="str" cm="1">
        <f t="array" ref="AN1291" xml:space="preserve"> _xlfn.IFS(A1291&lt;25,"&lt;25",
A1291&lt;=35,"25-35",
A1291&lt;=45,"36-45",
TRUE,"45+"
)</f>
        <v>36-45</v>
      </c>
      <c r="AO1291" t="str" cm="1">
        <f t="array" ref="AO1291">_xlfn.IFS(S1291&lt;5000,"Low",
S1291&lt;=15000,"Medium",
TRUE,"High")</f>
        <v>Low</v>
      </c>
    </row>
    <row r="1292" spans="1:41" hidden="1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 t="str">
        <f t="shared" si="60"/>
        <v>Resigned</v>
      </c>
      <c r="AK1292">
        <f t="shared" ca="1" si="61"/>
        <v>2014</v>
      </c>
      <c r="AL1292">
        <f t="shared" si="62"/>
        <v>1</v>
      </c>
      <c r="AM1292" cm="1">
        <f t="array" aca="1" ref="AM1292" ca="1">IF(B1292="Yes",YEAR(TODAY()),BLANK())</f>
        <v>2025</v>
      </c>
      <c r="AN1292" t="str" cm="1">
        <f t="array" ref="AN1292" xml:space="preserve"> _xlfn.IFS(A1292&lt;25,"&lt;25",
A1292&lt;=35,"25-35",
A1292&lt;=45,"36-45",
TRUE,"45+"
)</f>
        <v>25-35</v>
      </c>
      <c r="AO1292" t="str" cm="1">
        <f t="array" ref="AO1292">_xlfn.IFS(S1292&lt;5000,"Low",
S1292&lt;=15000,"Medium",
TRUE,"High")</f>
        <v>Medium</v>
      </c>
    </row>
    <row r="1293" spans="1:41" hidden="1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 t="str">
        <f t="shared" si="60"/>
        <v>Resigned</v>
      </c>
      <c r="AK1293">
        <f t="shared" ca="1" si="61"/>
        <v>2015</v>
      </c>
      <c r="AL1293">
        <f t="shared" si="62"/>
        <v>1</v>
      </c>
      <c r="AM1293" cm="1">
        <f t="array" aca="1" ref="AM1293" ca="1">IF(B1293="Yes",YEAR(TODAY()),BLANK())</f>
        <v>2025</v>
      </c>
      <c r="AN1293" t="str" cm="1">
        <f t="array" ref="AN1293" xml:space="preserve"> _xlfn.IFS(A1293&lt;25,"&lt;25",
A1293&lt;=35,"25-35",
A1293&lt;=45,"36-45",
TRUE,"45+"
)</f>
        <v>36-45</v>
      </c>
      <c r="AO1293" t="str" cm="1">
        <f t="array" ref="AO1293">_xlfn.IFS(S1293&lt;5000,"Low",
S1293&lt;=15000,"Medium",
TRUE,"High")</f>
        <v>Low</v>
      </c>
    </row>
    <row r="1294" spans="1:41" hidden="1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 t="str">
        <f t="shared" si="60"/>
        <v>Active</v>
      </c>
      <c r="AK1294">
        <f t="shared" ca="1" si="61"/>
        <v>2018</v>
      </c>
      <c r="AL1294">
        <f t="shared" si="62"/>
        <v>0</v>
      </c>
      <c r="AM1294" t="e" cm="1">
        <f t="array" aca="1" ref="AM1294" ca="1">IF(B1294="Yes",YEAR(TODAY()),BLANK())</f>
        <v>#NAME?</v>
      </c>
      <c r="AN1294" t="str" cm="1">
        <f t="array" ref="AN1294" xml:space="preserve"> _xlfn.IFS(A1294&lt;25,"&lt;25",
A1294&lt;=35,"25-35",
A1294&lt;=45,"36-45",
TRUE,"45+"
)</f>
        <v>36-45</v>
      </c>
      <c r="AO1294" t="str" cm="1">
        <f t="array" ref="AO1294">_xlfn.IFS(S1294&lt;5000,"Low",
S1294&lt;=15000,"Medium",
TRUE,"High")</f>
        <v>Low</v>
      </c>
    </row>
    <row r="1295" spans="1:41" hidden="1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 t="str">
        <f t="shared" si="60"/>
        <v>Active</v>
      </c>
      <c r="AK1295">
        <f t="shared" ca="1" si="61"/>
        <v>2018</v>
      </c>
      <c r="AL1295">
        <f t="shared" si="62"/>
        <v>0</v>
      </c>
      <c r="AM1295" t="e" cm="1">
        <f t="array" aca="1" ref="AM1295" ca="1">IF(B1295="Yes",YEAR(TODAY()),BLANK())</f>
        <v>#NAME?</v>
      </c>
      <c r="AN1295" t="str" cm="1">
        <f t="array" ref="AN1295" xml:space="preserve"> _xlfn.IFS(A1295&lt;25,"&lt;25",
A1295&lt;=35,"25-35",
A1295&lt;=45,"36-45",
TRUE,"45+"
)</f>
        <v>36-45</v>
      </c>
      <c r="AO1295" t="str" cm="1">
        <f t="array" ref="AO1295">_xlfn.IFS(S1295&lt;5000,"Low",
S1295&lt;=15000,"Medium",
TRUE,"High")</f>
        <v>Low</v>
      </c>
    </row>
    <row r="1296" spans="1:41" hidden="1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 t="str">
        <f t="shared" si="60"/>
        <v>Active</v>
      </c>
      <c r="AK1296">
        <f t="shared" ca="1" si="61"/>
        <v>2014</v>
      </c>
      <c r="AL1296">
        <f t="shared" si="62"/>
        <v>0</v>
      </c>
      <c r="AM1296" t="e" cm="1">
        <f t="array" aca="1" ref="AM1296" ca="1">IF(B1296="Yes",YEAR(TODAY()),BLANK())</f>
        <v>#NAME?</v>
      </c>
      <c r="AN1296" t="str" cm="1">
        <f t="array" ref="AN1296" xml:space="preserve"> _xlfn.IFS(A1296&lt;25,"&lt;25",
A1296&lt;=35,"25-35",
A1296&lt;=45,"36-45",
TRUE,"45+"
)</f>
        <v>36-45</v>
      </c>
      <c r="AO1296" t="str" cm="1">
        <f t="array" ref="AO1296">_xlfn.IFS(S1296&lt;5000,"Low",
S1296&lt;=15000,"Medium",
TRUE,"High")</f>
        <v>Medium</v>
      </c>
    </row>
    <row r="1297" spans="1:41" hidden="1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 t="str">
        <f t="shared" si="60"/>
        <v>Active</v>
      </c>
      <c r="AK1297">
        <f t="shared" ca="1" si="61"/>
        <v>2002</v>
      </c>
      <c r="AL1297">
        <f t="shared" si="62"/>
        <v>0</v>
      </c>
      <c r="AM1297" t="e" cm="1">
        <f t="array" aca="1" ref="AM1297" ca="1">IF(B1297="Yes",YEAR(TODAY()),BLANK())</f>
        <v>#NAME?</v>
      </c>
      <c r="AN1297" t="str" cm="1">
        <f t="array" ref="AN1297" xml:space="preserve"> _xlfn.IFS(A1297&lt;25,"&lt;25",
A1297&lt;=35,"25-35",
A1297&lt;=45,"36-45",
TRUE,"45+"
)</f>
        <v>36-45</v>
      </c>
      <c r="AO1297" t="str" cm="1">
        <f t="array" ref="AO1297">_xlfn.IFS(S1297&lt;5000,"Low",
S1297&lt;=15000,"Medium",
TRUE,"High")</f>
        <v>Medium</v>
      </c>
    </row>
    <row r="1298" spans="1:41" hidden="1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 t="str">
        <f t="shared" si="60"/>
        <v>Active</v>
      </c>
      <c r="AK1298">
        <f t="shared" ca="1" si="61"/>
        <v>2016</v>
      </c>
      <c r="AL1298">
        <f t="shared" si="62"/>
        <v>0</v>
      </c>
      <c r="AM1298" t="e" cm="1">
        <f t="array" aca="1" ref="AM1298" ca="1">IF(B1298="Yes",YEAR(TODAY()),BLANK())</f>
        <v>#NAME?</v>
      </c>
      <c r="AN1298" t="str" cm="1">
        <f t="array" ref="AN1298" xml:space="preserve"> _xlfn.IFS(A1298&lt;25,"&lt;25",
A1298&lt;=35,"25-35",
A1298&lt;=45,"36-45",
TRUE,"45+"
)</f>
        <v>25-35</v>
      </c>
      <c r="AO1298" t="str" cm="1">
        <f t="array" ref="AO1298">_xlfn.IFS(S1298&lt;5000,"Low",
S1298&lt;=15000,"Medium",
TRUE,"High")</f>
        <v>Medium</v>
      </c>
    </row>
    <row r="1299" spans="1:41" hidden="1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 t="str">
        <f t="shared" si="60"/>
        <v>Resigned</v>
      </c>
      <c r="AK1299">
        <f t="shared" ca="1" si="61"/>
        <v>2019</v>
      </c>
      <c r="AL1299">
        <f t="shared" si="62"/>
        <v>1</v>
      </c>
      <c r="AM1299" cm="1">
        <f t="array" aca="1" ref="AM1299" ca="1">IF(B1299="Yes",YEAR(TODAY()),BLANK())</f>
        <v>2025</v>
      </c>
      <c r="AN1299" t="str" cm="1">
        <f t="array" ref="AN1299" xml:space="preserve"> _xlfn.IFS(A1299&lt;25,"&lt;25",
A1299&lt;=35,"25-35",
A1299&lt;=45,"36-45",
TRUE,"45+"
)</f>
        <v>25-35</v>
      </c>
      <c r="AO1299" t="str" cm="1">
        <f t="array" ref="AO1299">_xlfn.IFS(S1299&lt;5000,"Low",
S1299&lt;=15000,"Medium",
TRUE,"High")</f>
        <v>Low</v>
      </c>
    </row>
    <row r="1300" spans="1:41" hidden="1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 t="str">
        <f t="shared" si="60"/>
        <v>Resigned</v>
      </c>
      <c r="AK1300">
        <f t="shared" ca="1" si="61"/>
        <v>2012</v>
      </c>
      <c r="AL1300">
        <f t="shared" si="62"/>
        <v>1</v>
      </c>
      <c r="AM1300" cm="1">
        <f t="array" aca="1" ref="AM1300" ca="1">IF(B1300="Yes",YEAR(TODAY()),BLANK())</f>
        <v>2025</v>
      </c>
      <c r="AN1300" t="str" cm="1">
        <f t="array" ref="AN1300" xml:space="preserve"> _xlfn.IFS(A1300&lt;25,"&lt;25",
A1300&lt;=35,"25-35",
A1300&lt;=45,"36-45",
TRUE,"45+"
)</f>
        <v>45+</v>
      </c>
      <c r="AO1300" t="str" cm="1">
        <f t="array" ref="AO1300">_xlfn.IFS(S1300&lt;5000,"Low",
S1300&lt;=15000,"Medium",
TRUE,"High")</f>
        <v>Medium</v>
      </c>
    </row>
    <row r="1301" spans="1:41" hidden="1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 t="str">
        <f t="shared" si="60"/>
        <v>Active</v>
      </c>
      <c r="AK1301">
        <f t="shared" ca="1" si="61"/>
        <v>2013</v>
      </c>
      <c r="AL1301">
        <f t="shared" si="62"/>
        <v>0</v>
      </c>
      <c r="AM1301" t="e" cm="1">
        <f t="array" aca="1" ref="AM1301" ca="1">IF(B1301="Yes",YEAR(TODAY()),BLANK())</f>
        <v>#NAME?</v>
      </c>
      <c r="AN1301" t="str" cm="1">
        <f t="array" ref="AN1301" xml:space="preserve"> _xlfn.IFS(A1301&lt;25,"&lt;25",
A1301&lt;=35,"25-35",
A1301&lt;=45,"36-45",
TRUE,"45+"
)</f>
        <v>36-45</v>
      </c>
      <c r="AO1301" t="str" cm="1">
        <f t="array" ref="AO1301">_xlfn.IFS(S1301&lt;5000,"Low",
S1301&lt;=15000,"Medium",
TRUE,"High")</f>
        <v>Medium</v>
      </c>
    </row>
    <row r="1302" spans="1:41" hidden="1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 t="str">
        <f t="shared" si="60"/>
        <v>Active</v>
      </c>
      <c r="AK1302">
        <f t="shared" ca="1" si="61"/>
        <v>2015</v>
      </c>
      <c r="AL1302">
        <f t="shared" si="62"/>
        <v>0</v>
      </c>
      <c r="AM1302" t="e" cm="1">
        <f t="array" aca="1" ref="AM1302" ca="1">IF(B1302="Yes",YEAR(TODAY()),BLANK())</f>
        <v>#NAME?</v>
      </c>
      <c r="AN1302" t="str" cm="1">
        <f t="array" ref="AN1302" xml:space="preserve"> _xlfn.IFS(A1302&lt;25,"&lt;25",
A1302&lt;=35,"25-35",
A1302&lt;=45,"36-45",
TRUE,"45+"
)</f>
        <v>25-35</v>
      </c>
      <c r="AO1302" t="str" cm="1">
        <f t="array" ref="AO1302">_xlfn.IFS(S1302&lt;5000,"Low",
S1302&lt;=15000,"Medium",
TRUE,"High")</f>
        <v>Medium</v>
      </c>
    </row>
    <row r="1303" spans="1:41" hidden="1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 t="str">
        <f t="shared" si="60"/>
        <v>Active</v>
      </c>
      <c r="AK1303">
        <f t="shared" ca="1" si="61"/>
        <v>1988</v>
      </c>
      <c r="AL1303">
        <f t="shared" si="62"/>
        <v>0</v>
      </c>
      <c r="AM1303" t="e" cm="1">
        <f t="array" aca="1" ref="AM1303" ca="1">IF(B1303="Yes",YEAR(TODAY()),BLANK())</f>
        <v>#NAME?</v>
      </c>
      <c r="AN1303" t="str" cm="1">
        <f t="array" ref="AN1303" xml:space="preserve"> _xlfn.IFS(A1303&lt;25,"&lt;25",
A1303&lt;=35,"25-35",
A1303&lt;=45,"36-45",
TRUE,"45+"
)</f>
        <v>45+</v>
      </c>
      <c r="AO1303" t="str" cm="1">
        <f t="array" ref="AO1303">_xlfn.IFS(S1303&lt;5000,"Low",
S1303&lt;=15000,"Medium",
TRUE,"High")</f>
        <v>High</v>
      </c>
    </row>
    <row r="1304" spans="1:41" hidden="1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 t="str">
        <f t="shared" si="60"/>
        <v>Active</v>
      </c>
      <c r="AK1304">
        <f t="shared" ca="1" si="61"/>
        <v>2019</v>
      </c>
      <c r="AL1304">
        <f t="shared" si="62"/>
        <v>0</v>
      </c>
      <c r="AM1304" t="e" cm="1">
        <f t="array" aca="1" ref="AM1304" ca="1">IF(B1304="Yes",YEAR(TODAY()),BLANK())</f>
        <v>#NAME?</v>
      </c>
      <c r="AN1304" t="str" cm="1">
        <f t="array" ref="AN1304" xml:space="preserve"> _xlfn.IFS(A1304&lt;25,"&lt;25",
A1304&lt;=35,"25-35",
A1304&lt;=45,"36-45",
TRUE,"45+"
)</f>
        <v>25-35</v>
      </c>
      <c r="AO1304" t="str" cm="1">
        <f t="array" ref="AO1304">_xlfn.IFS(S1304&lt;5000,"Low",
S1304&lt;=15000,"Medium",
TRUE,"High")</f>
        <v>Low</v>
      </c>
    </row>
    <row r="1305" spans="1:41" hidden="1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 t="str">
        <f t="shared" si="60"/>
        <v>Active</v>
      </c>
      <c r="AK1305">
        <f t="shared" ca="1" si="61"/>
        <v>1997</v>
      </c>
      <c r="AL1305">
        <f t="shared" si="62"/>
        <v>0</v>
      </c>
      <c r="AM1305" t="e" cm="1">
        <f t="array" aca="1" ref="AM1305" ca="1">IF(B1305="Yes",YEAR(TODAY()),BLANK())</f>
        <v>#NAME?</v>
      </c>
      <c r="AN1305" t="str" cm="1">
        <f t="array" ref="AN1305" xml:space="preserve"> _xlfn.IFS(A1305&lt;25,"&lt;25",
A1305&lt;=35,"25-35",
A1305&lt;=45,"36-45",
TRUE,"45+"
)</f>
        <v>45+</v>
      </c>
      <c r="AO1305" t="str" cm="1">
        <f t="array" ref="AO1305">_xlfn.IFS(S1305&lt;5000,"Low",
S1305&lt;=15000,"Medium",
TRUE,"High")</f>
        <v>Medium</v>
      </c>
    </row>
    <row r="1306" spans="1:41" hidden="1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 t="str">
        <f t="shared" si="60"/>
        <v>Active</v>
      </c>
      <c r="AK1306">
        <f t="shared" ca="1" si="61"/>
        <v>2010</v>
      </c>
      <c r="AL1306">
        <f t="shared" si="62"/>
        <v>0</v>
      </c>
      <c r="AM1306" t="e" cm="1">
        <f t="array" aca="1" ref="AM1306" ca="1">IF(B1306="Yes",YEAR(TODAY()),BLANK())</f>
        <v>#NAME?</v>
      </c>
      <c r="AN1306" t="str" cm="1">
        <f t="array" ref="AN1306" xml:space="preserve"> _xlfn.IFS(A1306&lt;25,"&lt;25",
A1306&lt;=35,"25-35",
A1306&lt;=45,"36-45",
TRUE,"45+"
)</f>
        <v>36-45</v>
      </c>
      <c r="AO1306" t="str" cm="1">
        <f t="array" ref="AO1306">_xlfn.IFS(S1306&lt;5000,"Low",
S1306&lt;=15000,"Medium",
TRUE,"High")</f>
        <v>Low</v>
      </c>
    </row>
    <row r="1307" spans="1:41" hidden="1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 t="str">
        <f t="shared" si="60"/>
        <v>Active</v>
      </c>
      <c r="AK1307">
        <f t="shared" ca="1" si="61"/>
        <v>2011</v>
      </c>
      <c r="AL1307">
        <f t="shared" si="62"/>
        <v>0</v>
      </c>
      <c r="AM1307" t="e" cm="1">
        <f t="array" aca="1" ref="AM1307" ca="1">IF(B1307="Yes",YEAR(TODAY()),BLANK())</f>
        <v>#NAME?</v>
      </c>
      <c r="AN1307" t="str" cm="1">
        <f t="array" ref="AN1307" xml:space="preserve"> _xlfn.IFS(A1307&lt;25,"&lt;25",
A1307&lt;=35,"25-35",
A1307&lt;=45,"36-45",
TRUE,"45+"
)</f>
        <v>45+</v>
      </c>
      <c r="AO1307" t="str" cm="1">
        <f t="array" ref="AO1307">_xlfn.IFS(S1307&lt;5000,"Low",
S1307&lt;=15000,"Medium",
TRUE,"High")</f>
        <v>Medium</v>
      </c>
    </row>
    <row r="1308" spans="1:41" hidden="1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 t="str">
        <f t="shared" si="60"/>
        <v>Active</v>
      </c>
      <c r="AK1308">
        <f t="shared" ca="1" si="61"/>
        <v>2016</v>
      </c>
      <c r="AL1308">
        <f t="shared" si="62"/>
        <v>0</v>
      </c>
      <c r="AM1308" t="e" cm="1">
        <f t="array" aca="1" ref="AM1308" ca="1">IF(B1308="Yes",YEAR(TODAY()),BLANK())</f>
        <v>#NAME?</v>
      </c>
      <c r="AN1308" t="str" cm="1">
        <f t="array" ref="AN1308" xml:space="preserve"> _xlfn.IFS(A1308&lt;25,"&lt;25",
A1308&lt;=35,"25-35",
A1308&lt;=45,"36-45",
TRUE,"45+"
)</f>
        <v>25-35</v>
      </c>
      <c r="AO1308" t="str" cm="1">
        <f t="array" ref="AO1308">_xlfn.IFS(S1308&lt;5000,"Low",
S1308&lt;=15000,"Medium",
TRUE,"High")</f>
        <v>Medium</v>
      </c>
    </row>
    <row r="1309" spans="1:41" hidden="1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 t="str">
        <f t="shared" si="60"/>
        <v>Active</v>
      </c>
      <c r="AK1309">
        <f t="shared" ca="1" si="61"/>
        <v>2022</v>
      </c>
      <c r="AL1309">
        <f t="shared" si="62"/>
        <v>0</v>
      </c>
      <c r="AM1309" t="e" cm="1">
        <f t="array" aca="1" ref="AM1309" ca="1">IF(B1309="Yes",YEAR(TODAY()),BLANK())</f>
        <v>#NAME?</v>
      </c>
      <c r="AN1309" t="str" cm="1">
        <f t="array" ref="AN1309" xml:space="preserve"> _xlfn.IFS(A1309&lt;25,"&lt;25",
A1309&lt;=35,"25-35",
A1309&lt;=45,"36-45",
TRUE,"45+"
)</f>
        <v>25-35</v>
      </c>
      <c r="AO1309" t="str" cm="1">
        <f t="array" ref="AO1309">_xlfn.IFS(S1309&lt;5000,"Low",
S1309&lt;=15000,"Medium",
TRUE,"High")</f>
        <v>Low</v>
      </c>
    </row>
    <row r="1310" spans="1:41" hidden="1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 t="str">
        <f t="shared" si="60"/>
        <v>Active</v>
      </c>
      <c r="AK1310">
        <f t="shared" ca="1" si="61"/>
        <v>2005</v>
      </c>
      <c r="AL1310">
        <f t="shared" si="62"/>
        <v>0</v>
      </c>
      <c r="AM1310" t="e" cm="1">
        <f t="array" aca="1" ref="AM1310" ca="1">IF(B1310="Yes",YEAR(TODAY()),BLANK())</f>
        <v>#NAME?</v>
      </c>
      <c r="AN1310" t="str" cm="1">
        <f t="array" ref="AN1310" xml:space="preserve"> _xlfn.IFS(A1310&lt;25,"&lt;25",
A1310&lt;=35,"25-35",
A1310&lt;=45,"36-45",
TRUE,"45+"
)</f>
        <v>36-45</v>
      </c>
      <c r="AO1310" t="str" cm="1">
        <f t="array" ref="AO1310">_xlfn.IFS(S1310&lt;5000,"Low",
S1310&lt;=15000,"Medium",
TRUE,"High")</f>
        <v>Medium</v>
      </c>
    </row>
    <row r="1311" spans="1:41" hidden="1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 t="str">
        <f t="shared" si="60"/>
        <v>Active</v>
      </c>
      <c r="AK1311">
        <f t="shared" ca="1" si="61"/>
        <v>2020</v>
      </c>
      <c r="AL1311">
        <f t="shared" si="62"/>
        <v>0</v>
      </c>
      <c r="AM1311" t="e" cm="1">
        <f t="array" aca="1" ref="AM1311" ca="1">IF(B1311="Yes",YEAR(TODAY()),BLANK())</f>
        <v>#NAME?</v>
      </c>
      <c r="AN1311" t="str" cm="1">
        <f t="array" ref="AN1311" xml:space="preserve"> _xlfn.IFS(A1311&lt;25,"&lt;25",
A1311&lt;=35,"25-35",
A1311&lt;=45,"36-45",
TRUE,"45+"
)</f>
        <v>25-35</v>
      </c>
      <c r="AO1311" t="str" cm="1">
        <f t="array" ref="AO1311">_xlfn.IFS(S1311&lt;5000,"Low",
S1311&lt;=15000,"Medium",
TRUE,"High")</f>
        <v>Low</v>
      </c>
    </row>
    <row r="1312" spans="1:41" hidden="1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 t="str">
        <f t="shared" si="60"/>
        <v>Active</v>
      </c>
      <c r="AK1312">
        <f t="shared" ca="1" si="61"/>
        <v>2002</v>
      </c>
      <c r="AL1312">
        <f t="shared" si="62"/>
        <v>0</v>
      </c>
      <c r="AM1312" t="e" cm="1">
        <f t="array" aca="1" ref="AM1312" ca="1">IF(B1312="Yes",YEAR(TODAY()),BLANK())</f>
        <v>#NAME?</v>
      </c>
      <c r="AN1312" t="str" cm="1">
        <f t="array" ref="AN1312" xml:space="preserve"> _xlfn.IFS(A1312&lt;25,"&lt;25",
A1312&lt;=35,"25-35",
A1312&lt;=45,"36-45",
TRUE,"45+"
)</f>
        <v>45+</v>
      </c>
      <c r="AO1312" t="str" cm="1">
        <f t="array" ref="AO1312">_xlfn.IFS(S1312&lt;5000,"Low",
S1312&lt;=15000,"Medium",
TRUE,"High")</f>
        <v>High</v>
      </c>
    </row>
    <row r="1313" spans="1:41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 t="str">
        <f t="shared" si="60"/>
        <v>Active</v>
      </c>
      <c r="AK1313">
        <f t="shared" ca="1" si="61"/>
        <v>2025</v>
      </c>
      <c r="AL1313">
        <f t="shared" si="62"/>
        <v>0</v>
      </c>
      <c r="AM1313" t="e" cm="1">
        <f t="array" aca="1" ref="AM1313" ca="1">IF(B1313="Yes",YEAR(TODAY()),BLANK())</f>
        <v>#NAME?</v>
      </c>
      <c r="AN1313" t="str" cm="1">
        <f t="array" ref="AN1313" xml:space="preserve"> _xlfn.IFS(A1313&lt;25,"&lt;25",
A1313&lt;=35,"25-35",
A1313&lt;=45,"36-45",
TRUE,"45+"
)</f>
        <v>&lt;25</v>
      </c>
      <c r="AO1313" t="str" cm="1">
        <f t="array" ref="AO1313">_xlfn.IFS(S1313&lt;5000,"Low",
S1313&lt;=15000,"Medium",
TRUE,"High")</f>
        <v>Low</v>
      </c>
    </row>
    <row r="1314" spans="1:41" hidden="1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 t="str">
        <f t="shared" si="60"/>
        <v>Resigned</v>
      </c>
      <c r="AK1314">
        <f t="shared" ca="1" si="61"/>
        <v>2023</v>
      </c>
      <c r="AL1314">
        <f t="shared" si="62"/>
        <v>1</v>
      </c>
      <c r="AM1314" cm="1">
        <f t="array" aca="1" ref="AM1314" ca="1">IF(B1314="Yes",YEAR(TODAY()),BLANK())</f>
        <v>2025</v>
      </c>
      <c r="AN1314" t="str" cm="1">
        <f t="array" ref="AN1314" xml:space="preserve"> _xlfn.IFS(A1314&lt;25,"&lt;25",
A1314&lt;=35,"25-35",
A1314&lt;=45,"36-45",
TRUE,"45+"
)</f>
        <v>25-35</v>
      </c>
      <c r="AO1314" t="str" cm="1">
        <f t="array" ref="AO1314">_xlfn.IFS(S1314&lt;5000,"Low",
S1314&lt;=15000,"Medium",
TRUE,"High")</f>
        <v>Low</v>
      </c>
    </row>
    <row r="1315" spans="1:41" hidden="1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 t="str">
        <f t="shared" si="60"/>
        <v>Resigned</v>
      </c>
      <c r="AK1315">
        <f t="shared" ca="1" si="61"/>
        <v>2021</v>
      </c>
      <c r="AL1315">
        <f t="shared" si="62"/>
        <v>1</v>
      </c>
      <c r="AM1315" cm="1">
        <f t="array" aca="1" ref="AM1315" ca="1">IF(B1315="Yes",YEAR(TODAY()),BLANK())</f>
        <v>2025</v>
      </c>
      <c r="AN1315" t="str" cm="1">
        <f t="array" ref="AN1315" xml:space="preserve"> _xlfn.IFS(A1315&lt;25,"&lt;25",
A1315&lt;=35,"25-35",
A1315&lt;=45,"36-45",
TRUE,"45+"
)</f>
        <v>25-35</v>
      </c>
      <c r="AO1315" t="str" cm="1">
        <f t="array" ref="AO1315">_xlfn.IFS(S1315&lt;5000,"Low",
S1315&lt;=15000,"Medium",
TRUE,"High")</f>
        <v>Low</v>
      </c>
    </row>
    <row r="1316" spans="1:41" hidden="1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 t="str">
        <f t="shared" si="60"/>
        <v>Active</v>
      </c>
      <c r="AK1316">
        <f t="shared" ca="1" si="61"/>
        <v>2015</v>
      </c>
      <c r="AL1316">
        <f t="shared" si="62"/>
        <v>0</v>
      </c>
      <c r="AM1316" t="e" cm="1">
        <f t="array" aca="1" ref="AM1316" ca="1">IF(B1316="Yes",YEAR(TODAY()),BLANK())</f>
        <v>#NAME?</v>
      </c>
      <c r="AN1316" t="str" cm="1">
        <f t="array" ref="AN1316" xml:space="preserve"> _xlfn.IFS(A1316&lt;25,"&lt;25",
A1316&lt;=35,"25-35",
A1316&lt;=45,"36-45",
TRUE,"45+"
)</f>
        <v>36-45</v>
      </c>
      <c r="AO1316" t="str" cm="1">
        <f t="array" ref="AO1316">_xlfn.IFS(S1316&lt;5000,"Low",
S1316&lt;=15000,"Medium",
TRUE,"High")</f>
        <v>Medium</v>
      </c>
    </row>
    <row r="1317" spans="1:41" hidden="1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 t="str">
        <f t="shared" si="60"/>
        <v>Active</v>
      </c>
      <c r="AK1317">
        <f t="shared" ca="1" si="61"/>
        <v>2010</v>
      </c>
      <c r="AL1317">
        <f t="shared" si="62"/>
        <v>0</v>
      </c>
      <c r="AM1317" t="e" cm="1">
        <f t="array" aca="1" ref="AM1317" ca="1">IF(B1317="Yes",YEAR(TODAY()),BLANK())</f>
        <v>#NAME?</v>
      </c>
      <c r="AN1317" t="str" cm="1">
        <f t="array" ref="AN1317" xml:space="preserve"> _xlfn.IFS(A1317&lt;25,"&lt;25",
A1317&lt;=35,"25-35",
A1317&lt;=45,"36-45",
TRUE,"45+"
)</f>
        <v>36-45</v>
      </c>
      <c r="AO1317" t="str" cm="1">
        <f t="array" ref="AO1317">_xlfn.IFS(S1317&lt;5000,"Low",
S1317&lt;=15000,"Medium",
TRUE,"High")</f>
        <v>Medium</v>
      </c>
    </row>
    <row r="1318" spans="1:41" hidden="1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 t="str">
        <f t="shared" si="60"/>
        <v>Active</v>
      </c>
      <c r="AK1318">
        <f t="shared" ca="1" si="61"/>
        <v>2018</v>
      </c>
      <c r="AL1318">
        <f t="shared" si="62"/>
        <v>0</v>
      </c>
      <c r="AM1318" t="e" cm="1">
        <f t="array" aca="1" ref="AM1318" ca="1">IF(B1318="Yes",YEAR(TODAY()),BLANK())</f>
        <v>#NAME?</v>
      </c>
      <c r="AN1318" t="str" cm="1">
        <f t="array" ref="AN1318" xml:space="preserve"> _xlfn.IFS(A1318&lt;25,"&lt;25",
A1318&lt;=35,"25-35",
A1318&lt;=45,"36-45",
TRUE,"45+"
)</f>
        <v>36-45</v>
      </c>
      <c r="AO1318" t="str" cm="1">
        <f t="array" ref="AO1318">_xlfn.IFS(S1318&lt;5000,"Low",
S1318&lt;=15000,"Medium",
TRUE,"High")</f>
        <v>Medium</v>
      </c>
    </row>
    <row r="1319" spans="1:41" hidden="1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 t="str">
        <f t="shared" si="60"/>
        <v>Active</v>
      </c>
      <c r="AK1319">
        <f t="shared" ca="1" si="61"/>
        <v>2019</v>
      </c>
      <c r="AL1319">
        <f t="shared" si="62"/>
        <v>0</v>
      </c>
      <c r="AM1319" t="e" cm="1">
        <f t="array" aca="1" ref="AM1319" ca="1">IF(B1319="Yes",YEAR(TODAY()),BLANK())</f>
        <v>#NAME?</v>
      </c>
      <c r="AN1319" t="str" cm="1">
        <f t="array" ref="AN1319" xml:space="preserve"> _xlfn.IFS(A1319&lt;25,"&lt;25",
A1319&lt;=35,"25-35",
A1319&lt;=45,"36-45",
TRUE,"45+"
)</f>
        <v>25-35</v>
      </c>
      <c r="AO1319" t="str" cm="1">
        <f t="array" ref="AO1319">_xlfn.IFS(S1319&lt;5000,"Low",
S1319&lt;=15000,"Medium",
TRUE,"High")</f>
        <v>Low</v>
      </c>
    </row>
    <row r="1320" spans="1:41" hidden="1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 t="str">
        <f t="shared" si="60"/>
        <v>Active</v>
      </c>
      <c r="AK1320">
        <f t="shared" ca="1" si="61"/>
        <v>2014</v>
      </c>
      <c r="AL1320">
        <f t="shared" si="62"/>
        <v>0</v>
      </c>
      <c r="AM1320" t="e" cm="1">
        <f t="array" aca="1" ref="AM1320" ca="1">IF(B1320="Yes",YEAR(TODAY()),BLANK())</f>
        <v>#NAME?</v>
      </c>
      <c r="AN1320" t="str" cm="1">
        <f t="array" ref="AN1320" xml:space="preserve"> _xlfn.IFS(A1320&lt;25,"&lt;25",
A1320&lt;=35,"25-35",
A1320&lt;=45,"36-45",
TRUE,"45+"
)</f>
        <v>25-35</v>
      </c>
      <c r="AO1320" t="str" cm="1">
        <f t="array" ref="AO1320">_xlfn.IFS(S1320&lt;5000,"Low",
S1320&lt;=15000,"Medium",
TRUE,"High")</f>
        <v>Low</v>
      </c>
    </row>
    <row r="1321" spans="1:41" hidden="1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 t="str">
        <f t="shared" si="60"/>
        <v>Active</v>
      </c>
      <c r="AK1321">
        <f t="shared" ca="1" si="61"/>
        <v>2021</v>
      </c>
      <c r="AL1321">
        <f t="shared" si="62"/>
        <v>0</v>
      </c>
      <c r="AM1321" t="e" cm="1">
        <f t="array" aca="1" ref="AM1321" ca="1">IF(B1321="Yes",YEAR(TODAY()),BLANK())</f>
        <v>#NAME?</v>
      </c>
      <c r="AN1321" t="str" cm="1">
        <f t="array" ref="AN1321" xml:space="preserve"> _xlfn.IFS(A1321&lt;25,"&lt;25",
A1321&lt;=35,"25-35",
A1321&lt;=45,"36-45",
TRUE,"45+"
)</f>
        <v>25-35</v>
      </c>
      <c r="AO1321" t="str" cm="1">
        <f t="array" ref="AO1321">_xlfn.IFS(S1321&lt;5000,"Low",
S1321&lt;=15000,"Medium",
TRUE,"High")</f>
        <v>Low</v>
      </c>
    </row>
    <row r="1322" spans="1:41" hidden="1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 t="str">
        <f t="shared" si="60"/>
        <v>Active</v>
      </c>
      <c r="AK1322">
        <f t="shared" ca="1" si="61"/>
        <v>2015</v>
      </c>
      <c r="AL1322">
        <f t="shared" si="62"/>
        <v>0</v>
      </c>
      <c r="AM1322" t="e" cm="1">
        <f t="array" aca="1" ref="AM1322" ca="1">IF(B1322="Yes",YEAR(TODAY()),BLANK())</f>
        <v>#NAME?</v>
      </c>
      <c r="AN1322" t="str" cm="1">
        <f t="array" ref="AN1322" xml:space="preserve"> _xlfn.IFS(A1322&lt;25,"&lt;25",
A1322&lt;=35,"25-35",
A1322&lt;=45,"36-45",
TRUE,"45+"
)</f>
        <v>36-45</v>
      </c>
      <c r="AO1322" t="str" cm="1">
        <f t="array" ref="AO1322">_xlfn.IFS(S1322&lt;5000,"Low",
S1322&lt;=15000,"Medium",
TRUE,"High")</f>
        <v>Low</v>
      </c>
    </row>
    <row r="1323" spans="1:41" hidden="1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 t="str">
        <f t="shared" si="60"/>
        <v>Active</v>
      </c>
      <c r="AK1323">
        <f t="shared" ca="1" si="61"/>
        <v>2018</v>
      </c>
      <c r="AL1323">
        <f t="shared" si="62"/>
        <v>0</v>
      </c>
      <c r="AM1323" t="e" cm="1">
        <f t="array" aca="1" ref="AM1323" ca="1">IF(B1323="Yes",YEAR(TODAY()),BLANK())</f>
        <v>#NAME?</v>
      </c>
      <c r="AN1323" t="str" cm="1">
        <f t="array" ref="AN1323" xml:space="preserve"> _xlfn.IFS(A1323&lt;25,"&lt;25",
A1323&lt;=35,"25-35",
A1323&lt;=45,"36-45",
TRUE,"45+"
)</f>
        <v>45+</v>
      </c>
      <c r="AO1323" t="str" cm="1">
        <f t="array" ref="AO1323">_xlfn.IFS(S1323&lt;5000,"Low",
S1323&lt;=15000,"Medium",
TRUE,"High")</f>
        <v>Low</v>
      </c>
    </row>
    <row r="1324" spans="1:41" hidden="1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 t="str">
        <f t="shared" si="60"/>
        <v>Active</v>
      </c>
      <c r="AK1324">
        <f t="shared" ca="1" si="61"/>
        <v>2013</v>
      </c>
      <c r="AL1324">
        <f t="shared" si="62"/>
        <v>0</v>
      </c>
      <c r="AM1324" t="e" cm="1">
        <f t="array" aca="1" ref="AM1324" ca="1">IF(B1324="Yes",YEAR(TODAY()),BLANK())</f>
        <v>#NAME?</v>
      </c>
      <c r="AN1324" t="str" cm="1">
        <f t="array" ref="AN1324" xml:space="preserve"> _xlfn.IFS(A1324&lt;25,"&lt;25",
A1324&lt;=35,"25-35",
A1324&lt;=45,"36-45",
TRUE,"45+"
)</f>
        <v>45+</v>
      </c>
      <c r="AO1324" t="str" cm="1">
        <f t="array" ref="AO1324">_xlfn.IFS(S1324&lt;5000,"Low",
S1324&lt;=15000,"Medium",
TRUE,"High")</f>
        <v>Medium</v>
      </c>
    </row>
    <row r="1325" spans="1:41" hidden="1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 t="str">
        <f t="shared" si="60"/>
        <v>Active</v>
      </c>
      <c r="AK1325">
        <f t="shared" ca="1" si="61"/>
        <v>2022</v>
      </c>
      <c r="AL1325">
        <f t="shared" si="62"/>
        <v>0</v>
      </c>
      <c r="AM1325" t="e" cm="1">
        <f t="array" aca="1" ref="AM1325" ca="1">IF(B1325="Yes",YEAR(TODAY()),BLANK())</f>
        <v>#NAME?</v>
      </c>
      <c r="AN1325" t="str" cm="1">
        <f t="array" ref="AN1325" xml:space="preserve"> _xlfn.IFS(A1325&lt;25,"&lt;25",
A1325&lt;=35,"25-35",
A1325&lt;=45,"36-45",
TRUE,"45+"
)</f>
        <v>25-35</v>
      </c>
      <c r="AO1325" t="str" cm="1">
        <f t="array" ref="AO1325">_xlfn.IFS(S1325&lt;5000,"Low",
S1325&lt;=15000,"Medium",
TRUE,"High")</f>
        <v>Low</v>
      </c>
    </row>
    <row r="1326" spans="1:41" hidden="1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 t="str">
        <f t="shared" si="60"/>
        <v>Active</v>
      </c>
      <c r="AK1326">
        <f t="shared" ca="1" si="61"/>
        <v>2014</v>
      </c>
      <c r="AL1326">
        <f t="shared" si="62"/>
        <v>0</v>
      </c>
      <c r="AM1326" t="e" cm="1">
        <f t="array" aca="1" ref="AM1326" ca="1">IF(B1326="Yes",YEAR(TODAY()),BLANK())</f>
        <v>#NAME?</v>
      </c>
      <c r="AN1326" t="str" cm="1">
        <f t="array" ref="AN1326" xml:space="preserve"> _xlfn.IFS(A1326&lt;25,"&lt;25",
A1326&lt;=35,"25-35",
A1326&lt;=45,"36-45",
TRUE,"45+"
)</f>
        <v>25-35</v>
      </c>
      <c r="AO1326" t="str" cm="1">
        <f t="array" ref="AO1326">_xlfn.IFS(S1326&lt;5000,"Low",
S1326&lt;=15000,"Medium",
TRUE,"High")</f>
        <v>Medium</v>
      </c>
    </row>
    <row r="1327" spans="1:41" hidden="1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 t="str">
        <f t="shared" si="60"/>
        <v>Active</v>
      </c>
      <c r="AK1327">
        <f t="shared" ca="1" si="61"/>
        <v>2017</v>
      </c>
      <c r="AL1327">
        <f t="shared" si="62"/>
        <v>0</v>
      </c>
      <c r="AM1327" t="e" cm="1">
        <f t="array" aca="1" ref="AM1327" ca="1">IF(B1327="Yes",YEAR(TODAY()),BLANK())</f>
        <v>#NAME?</v>
      </c>
      <c r="AN1327" t="str" cm="1">
        <f t="array" ref="AN1327" xml:space="preserve"> _xlfn.IFS(A1327&lt;25,"&lt;25",
A1327&lt;=35,"25-35",
A1327&lt;=45,"36-45",
TRUE,"45+"
)</f>
        <v>36-45</v>
      </c>
      <c r="AO1327" t="str" cm="1">
        <f t="array" ref="AO1327">_xlfn.IFS(S1327&lt;5000,"Low",
S1327&lt;=15000,"Medium",
TRUE,"High")</f>
        <v>Low</v>
      </c>
    </row>
    <row r="1328" spans="1:41" hidden="1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 t="str">
        <f t="shared" si="60"/>
        <v>Resigned</v>
      </c>
      <c r="AK1328">
        <f t="shared" ca="1" si="61"/>
        <v>2018</v>
      </c>
      <c r="AL1328">
        <f t="shared" si="62"/>
        <v>1</v>
      </c>
      <c r="AM1328" cm="1">
        <f t="array" aca="1" ref="AM1328" ca="1">IF(B1328="Yes",YEAR(TODAY()),BLANK())</f>
        <v>2025</v>
      </c>
      <c r="AN1328" t="str" cm="1">
        <f t="array" ref="AN1328" xml:space="preserve"> _xlfn.IFS(A1328&lt;25,"&lt;25",
A1328&lt;=35,"25-35",
A1328&lt;=45,"36-45",
TRUE,"45+"
)</f>
        <v>25-35</v>
      </c>
      <c r="AO1328" t="str" cm="1">
        <f t="array" ref="AO1328">_xlfn.IFS(S1328&lt;5000,"Low",
S1328&lt;=15000,"Medium",
TRUE,"High")</f>
        <v>Medium</v>
      </c>
    </row>
    <row r="1329" spans="1:41" hidden="1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 t="str">
        <f t="shared" si="60"/>
        <v>Active</v>
      </c>
      <c r="AK1329">
        <f t="shared" ca="1" si="61"/>
        <v>2000</v>
      </c>
      <c r="AL1329">
        <f t="shared" si="62"/>
        <v>0</v>
      </c>
      <c r="AM1329" t="e" cm="1">
        <f t="array" aca="1" ref="AM1329" ca="1">IF(B1329="Yes",YEAR(TODAY()),BLANK())</f>
        <v>#NAME?</v>
      </c>
      <c r="AN1329" t="str" cm="1">
        <f t="array" ref="AN1329" xml:space="preserve"> _xlfn.IFS(A1329&lt;25,"&lt;25",
A1329&lt;=35,"25-35",
A1329&lt;=45,"36-45",
TRUE,"45+"
)</f>
        <v>45+</v>
      </c>
      <c r="AO1329" t="str" cm="1">
        <f t="array" ref="AO1329">_xlfn.IFS(S1329&lt;5000,"Low",
S1329&lt;=15000,"Medium",
TRUE,"High")</f>
        <v>Medium</v>
      </c>
    </row>
    <row r="1330" spans="1:41" hidden="1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 t="str">
        <f t="shared" si="60"/>
        <v>Active</v>
      </c>
      <c r="AK1330">
        <f t="shared" ca="1" si="61"/>
        <v>2016</v>
      </c>
      <c r="AL1330">
        <f t="shared" si="62"/>
        <v>0</v>
      </c>
      <c r="AM1330" t="e" cm="1">
        <f t="array" aca="1" ref="AM1330" ca="1">IF(B1330="Yes",YEAR(TODAY()),BLANK())</f>
        <v>#NAME?</v>
      </c>
      <c r="AN1330" t="str" cm="1">
        <f t="array" ref="AN1330" xml:space="preserve"> _xlfn.IFS(A1330&lt;25,"&lt;25",
A1330&lt;=35,"25-35",
A1330&lt;=45,"36-45",
TRUE,"45+"
)</f>
        <v>25-35</v>
      </c>
      <c r="AO1330" t="str" cm="1">
        <f t="array" ref="AO1330">_xlfn.IFS(S1330&lt;5000,"Low",
S1330&lt;=15000,"Medium",
TRUE,"High")</f>
        <v>Low</v>
      </c>
    </row>
    <row r="1331" spans="1:41" hidden="1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 t="str">
        <f t="shared" si="60"/>
        <v>Active</v>
      </c>
      <c r="AK1331">
        <f t="shared" ca="1" si="61"/>
        <v>2024</v>
      </c>
      <c r="AL1331">
        <f t="shared" si="62"/>
        <v>0</v>
      </c>
      <c r="AM1331" t="e" cm="1">
        <f t="array" aca="1" ref="AM1331" ca="1">IF(B1331="Yes",YEAR(TODAY()),BLANK())</f>
        <v>#NAME?</v>
      </c>
      <c r="AN1331" t="str" cm="1">
        <f t="array" ref="AN1331" xml:space="preserve"> _xlfn.IFS(A1331&lt;25,"&lt;25",
A1331&lt;=35,"25-35",
A1331&lt;=45,"36-45",
TRUE,"45+"
)</f>
        <v>25-35</v>
      </c>
      <c r="AO1331" t="str" cm="1">
        <f t="array" ref="AO1331">_xlfn.IFS(S1331&lt;5000,"Low",
S1331&lt;=15000,"Medium",
TRUE,"High")</f>
        <v>Low</v>
      </c>
    </row>
    <row r="1332" spans="1:41" hidden="1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 t="str">
        <f t="shared" si="60"/>
        <v>Active</v>
      </c>
      <c r="AK1332">
        <f t="shared" ca="1" si="61"/>
        <v>2004</v>
      </c>
      <c r="AL1332">
        <f t="shared" si="62"/>
        <v>0</v>
      </c>
      <c r="AM1332" t="e" cm="1">
        <f t="array" aca="1" ref="AM1332" ca="1">IF(B1332="Yes",YEAR(TODAY()),BLANK())</f>
        <v>#NAME?</v>
      </c>
      <c r="AN1332" t="str" cm="1">
        <f t="array" ref="AN1332" xml:space="preserve"> _xlfn.IFS(A1332&lt;25,"&lt;25",
A1332&lt;=35,"25-35",
A1332&lt;=45,"36-45",
TRUE,"45+"
)</f>
        <v>36-45</v>
      </c>
      <c r="AO1332" t="str" cm="1">
        <f t="array" ref="AO1332">_xlfn.IFS(S1332&lt;5000,"Low",
S1332&lt;=15000,"Medium",
TRUE,"High")</f>
        <v>High</v>
      </c>
    </row>
    <row r="1333" spans="1:41" hidden="1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 t="str">
        <f t="shared" si="60"/>
        <v>Active</v>
      </c>
      <c r="AK1333">
        <f t="shared" ca="1" si="61"/>
        <v>1996</v>
      </c>
      <c r="AL1333">
        <f t="shared" si="62"/>
        <v>0</v>
      </c>
      <c r="AM1333" t="e" cm="1">
        <f t="array" aca="1" ref="AM1333" ca="1">IF(B1333="Yes",YEAR(TODAY()),BLANK())</f>
        <v>#NAME?</v>
      </c>
      <c r="AN1333" t="str" cm="1">
        <f t="array" ref="AN1333" xml:space="preserve"> _xlfn.IFS(A1333&lt;25,"&lt;25",
A1333&lt;=35,"25-35",
A1333&lt;=45,"36-45",
TRUE,"45+"
)</f>
        <v>45+</v>
      </c>
      <c r="AO1333" t="str" cm="1">
        <f t="array" ref="AO1333">_xlfn.IFS(S1333&lt;5000,"Low",
S1333&lt;=15000,"Medium",
TRUE,"High")</f>
        <v>High</v>
      </c>
    </row>
    <row r="1334" spans="1:41" hidden="1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 t="str">
        <f t="shared" si="60"/>
        <v>Resigned</v>
      </c>
      <c r="AK1334">
        <f t="shared" ca="1" si="61"/>
        <v>2024</v>
      </c>
      <c r="AL1334">
        <f t="shared" si="62"/>
        <v>1</v>
      </c>
      <c r="AM1334" cm="1">
        <f t="array" aca="1" ref="AM1334" ca="1">IF(B1334="Yes",YEAR(TODAY()),BLANK())</f>
        <v>2025</v>
      </c>
      <c r="AN1334" t="str" cm="1">
        <f t="array" ref="AN1334" xml:space="preserve"> _xlfn.IFS(A1334&lt;25,"&lt;25",
A1334&lt;=35,"25-35",
A1334&lt;=45,"36-45",
TRUE,"45+"
)</f>
        <v>25-35</v>
      </c>
      <c r="AO1334" t="str" cm="1">
        <f t="array" ref="AO1334">_xlfn.IFS(S1334&lt;5000,"Low",
S1334&lt;=15000,"Medium",
TRUE,"High")</f>
        <v>Low</v>
      </c>
    </row>
    <row r="1335" spans="1:41" hidden="1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 t="str">
        <f t="shared" si="60"/>
        <v>Resigned</v>
      </c>
      <c r="AK1335">
        <f t="shared" ca="1" si="61"/>
        <v>2011</v>
      </c>
      <c r="AL1335">
        <f t="shared" si="62"/>
        <v>1</v>
      </c>
      <c r="AM1335" cm="1">
        <f t="array" aca="1" ref="AM1335" ca="1">IF(B1335="Yes",YEAR(TODAY()),BLANK())</f>
        <v>2025</v>
      </c>
      <c r="AN1335" t="str" cm="1">
        <f t="array" ref="AN1335" xml:space="preserve"> _xlfn.IFS(A1335&lt;25,"&lt;25",
A1335&lt;=35,"25-35",
A1335&lt;=45,"36-45",
TRUE,"45+"
)</f>
        <v>45+</v>
      </c>
      <c r="AO1335" t="str" cm="1">
        <f t="array" ref="AO1335">_xlfn.IFS(S1335&lt;5000,"Low",
S1335&lt;=15000,"Medium",
TRUE,"High")</f>
        <v>Medium</v>
      </c>
    </row>
    <row r="1336" spans="1:41" hidden="1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 t="str">
        <f t="shared" si="60"/>
        <v>Active</v>
      </c>
      <c r="AK1336">
        <f t="shared" ca="1" si="61"/>
        <v>2017</v>
      </c>
      <c r="AL1336">
        <f t="shared" si="62"/>
        <v>0</v>
      </c>
      <c r="AM1336" t="e" cm="1">
        <f t="array" aca="1" ref="AM1336" ca="1">IF(B1336="Yes",YEAR(TODAY()),BLANK())</f>
        <v>#NAME?</v>
      </c>
      <c r="AN1336" t="str" cm="1">
        <f t="array" ref="AN1336" xml:space="preserve"> _xlfn.IFS(A1336&lt;25,"&lt;25",
A1336&lt;=35,"25-35",
A1336&lt;=45,"36-45",
TRUE,"45+"
)</f>
        <v>25-35</v>
      </c>
      <c r="AO1336" t="str" cm="1">
        <f t="array" ref="AO1336">_xlfn.IFS(S1336&lt;5000,"Low",
S1336&lt;=15000,"Medium",
TRUE,"High")</f>
        <v>Low</v>
      </c>
    </row>
    <row r="1337" spans="1:41" hidden="1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 t="str">
        <f t="shared" si="60"/>
        <v>Active</v>
      </c>
      <c r="AK1337">
        <f t="shared" ca="1" si="61"/>
        <v>2018</v>
      </c>
      <c r="AL1337">
        <f t="shared" si="62"/>
        <v>0</v>
      </c>
      <c r="AM1337" t="e" cm="1">
        <f t="array" aca="1" ref="AM1337" ca="1">IF(B1337="Yes",YEAR(TODAY()),BLANK())</f>
        <v>#NAME?</v>
      </c>
      <c r="AN1337" t="str" cm="1">
        <f t="array" ref="AN1337" xml:space="preserve"> _xlfn.IFS(A1337&lt;25,"&lt;25",
A1337&lt;=35,"25-35",
A1337&lt;=45,"36-45",
TRUE,"45+"
)</f>
        <v>36-45</v>
      </c>
      <c r="AO1337" t="str" cm="1">
        <f t="array" ref="AO1337">_xlfn.IFS(S1337&lt;5000,"Low",
S1337&lt;=15000,"Medium",
TRUE,"High")</f>
        <v>Low</v>
      </c>
    </row>
    <row r="1338" spans="1:41" hidden="1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 t="str">
        <f t="shared" si="60"/>
        <v>Active</v>
      </c>
      <c r="AK1338">
        <f t="shared" ca="1" si="61"/>
        <v>2006</v>
      </c>
      <c r="AL1338">
        <f t="shared" si="62"/>
        <v>0</v>
      </c>
      <c r="AM1338" t="e" cm="1">
        <f t="array" aca="1" ref="AM1338" ca="1">IF(B1338="Yes",YEAR(TODAY()),BLANK())</f>
        <v>#NAME?</v>
      </c>
      <c r="AN1338" t="str" cm="1">
        <f t="array" ref="AN1338" xml:space="preserve"> _xlfn.IFS(A1338&lt;25,"&lt;25",
A1338&lt;=35,"25-35",
A1338&lt;=45,"36-45",
TRUE,"45+"
)</f>
        <v>45+</v>
      </c>
      <c r="AO1338" t="str" cm="1">
        <f t="array" ref="AO1338">_xlfn.IFS(S1338&lt;5000,"Low",
S1338&lt;=15000,"Medium",
TRUE,"High")</f>
        <v>Low</v>
      </c>
    </row>
    <row r="1339" spans="1:41" hidden="1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 t="str">
        <f t="shared" si="60"/>
        <v>Active</v>
      </c>
      <c r="AK1339">
        <f t="shared" ca="1" si="61"/>
        <v>2024</v>
      </c>
      <c r="AL1339">
        <f t="shared" si="62"/>
        <v>0</v>
      </c>
      <c r="AM1339" t="e" cm="1">
        <f t="array" aca="1" ref="AM1339" ca="1">IF(B1339="Yes",YEAR(TODAY()),BLANK())</f>
        <v>#NAME?</v>
      </c>
      <c r="AN1339" t="str" cm="1">
        <f t="array" ref="AN1339" xml:space="preserve"> _xlfn.IFS(A1339&lt;25,"&lt;25",
A1339&lt;=35,"25-35",
A1339&lt;=45,"36-45",
TRUE,"45+"
)</f>
        <v>25-35</v>
      </c>
      <c r="AO1339" t="str" cm="1">
        <f t="array" ref="AO1339">_xlfn.IFS(S1339&lt;5000,"Low",
S1339&lt;=15000,"Medium",
TRUE,"High")</f>
        <v>Low</v>
      </c>
    </row>
    <row r="1340" spans="1:41" hidden="1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 t="str">
        <f t="shared" si="60"/>
        <v>Resigned</v>
      </c>
      <c r="AK1340">
        <f t="shared" ca="1" si="61"/>
        <v>2024</v>
      </c>
      <c r="AL1340">
        <f t="shared" si="62"/>
        <v>1</v>
      </c>
      <c r="AM1340" cm="1">
        <f t="array" aca="1" ref="AM1340" ca="1">IF(B1340="Yes",YEAR(TODAY()),BLANK())</f>
        <v>2025</v>
      </c>
      <c r="AN1340" t="str" cm="1">
        <f t="array" ref="AN1340" xml:space="preserve"> _xlfn.IFS(A1340&lt;25,"&lt;25",
A1340&lt;=35,"25-35",
A1340&lt;=45,"36-45",
TRUE,"45+"
)</f>
        <v>25-35</v>
      </c>
      <c r="AO1340" t="str" cm="1">
        <f t="array" ref="AO1340">_xlfn.IFS(S1340&lt;5000,"Low",
S1340&lt;=15000,"Medium",
TRUE,"High")</f>
        <v>Low</v>
      </c>
    </row>
    <row r="1341" spans="1:41" hidden="1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 t="str">
        <f t="shared" si="60"/>
        <v>Resigned</v>
      </c>
      <c r="AK1341">
        <f t="shared" ca="1" si="61"/>
        <v>2024</v>
      </c>
      <c r="AL1341">
        <f t="shared" si="62"/>
        <v>1</v>
      </c>
      <c r="AM1341" cm="1">
        <f t="array" aca="1" ref="AM1341" ca="1">IF(B1341="Yes",YEAR(TODAY()),BLANK())</f>
        <v>2025</v>
      </c>
      <c r="AN1341" t="str" cm="1">
        <f t="array" ref="AN1341" xml:space="preserve"> _xlfn.IFS(A1341&lt;25,"&lt;25",
A1341&lt;=35,"25-35",
A1341&lt;=45,"36-45",
TRUE,"45+"
)</f>
        <v>&lt;25</v>
      </c>
      <c r="AO1341" t="str" cm="1">
        <f t="array" ref="AO1341">_xlfn.IFS(S1341&lt;5000,"Low",
S1341&lt;=15000,"Medium",
TRUE,"High")</f>
        <v>Low</v>
      </c>
    </row>
    <row r="1342" spans="1:41" hidden="1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 t="str">
        <f t="shared" si="60"/>
        <v>Active</v>
      </c>
      <c r="AK1342">
        <f t="shared" ca="1" si="61"/>
        <v>2015</v>
      </c>
      <c r="AL1342">
        <f t="shared" si="62"/>
        <v>0</v>
      </c>
      <c r="AM1342" t="e" cm="1">
        <f t="array" aca="1" ref="AM1342" ca="1">IF(B1342="Yes",YEAR(TODAY()),BLANK())</f>
        <v>#NAME?</v>
      </c>
      <c r="AN1342" t="str" cm="1">
        <f t="array" ref="AN1342" xml:space="preserve"> _xlfn.IFS(A1342&lt;25,"&lt;25",
A1342&lt;=35,"25-35",
A1342&lt;=45,"36-45",
TRUE,"45+"
)</f>
        <v>36-45</v>
      </c>
      <c r="AO1342" t="str" cm="1">
        <f t="array" ref="AO1342">_xlfn.IFS(S1342&lt;5000,"Low",
S1342&lt;=15000,"Medium",
TRUE,"High")</f>
        <v>Medium</v>
      </c>
    </row>
    <row r="1343" spans="1:41" hidden="1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 t="str">
        <f t="shared" si="60"/>
        <v>Active</v>
      </c>
      <c r="AK1343">
        <f t="shared" ca="1" si="61"/>
        <v>2015</v>
      </c>
      <c r="AL1343">
        <f t="shared" si="62"/>
        <v>0</v>
      </c>
      <c r="AM1343" t="e" cm="1">
        <f t="array" aca="1" ref="AM1343" ca="1">IF(B1343="Yes",YEAR(TODAY()),BLANK())</f>
        <v>#NAME?</v>
      </c>
      <c r="AN1343" t="str" cm="1">
        <f t="array" ref="AN1343" xml:space="preserve"> _xlfn.IFS(A1343&lt;25,"&lt;25",
A1343&lt;=35,"25-35",
A1343&lt;=45,"36-45",
TRUE,"45+"
)</f>
        <v>25-35</v>
      </c>
      <c r="AO1343" t="str" cm="1">
        <f t="array" ref="AO1343">_xlfn.IFS(S1343&lt;5000,"Low",
S1343&lt;=15000,"Medium",
TRUE,"High")</f>
        <v>Low</v>
      </c>
    </row>
    <row r="1344" spans="1:41" hidden="1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 t="str">
        <f t="shared" si="60"/>
        <v>Active</v>
      </c>
      <c r="AK1344">
        <f t="shared" ca="1" si="61"/>
        <v>2016</v>
      </c>
      <c r="AL1344">
        <f t="shared" si="62"/>
        <v>0</v>
      </c>
      <c r="AM1344" t="e" cm="1">
        <f t="array" aca="1" ref="AM1344" ca="1">IF(B1344="Yes",YEAR(TODAY()),BLANK())</f>
        <v>#NAME?</v>
      </c>
      <c r="AN1344" t="str" cm="1">
        <f t="array" ref="AN1344" xml:space="preserve"> _xlfn.IFS(A1344&lt;25,"&lt;25",
A1344&lt;=35,"25-35",
A1344&lt;=45,"36-45",
TRUE,"45+"
)</f>
        <v>25-35</v>
      </c>
      <c r="AO1344" t="str" cm="1">
        <f t="array" ref="AO1344">_xlfn.IFS(S1344&lt;5000,"Low",
S1344&lt;=15000,"Medium",
TRUE,"High")</f>
        <v>Medium</v>
      </c>
    </row>
    <row r="1345" spans="1:41" hidden="1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 t="str">
        <f t="shared" si="60"/>
        <v>Active</v>
      </c>
      <c r="AK1345">
        <f t="shared" ca="1" si="61"/>
        <v>2014</v>
      </c>
      <c r="AL1345">
        <f t="shared" si="62"/>
        <v>0</v>
      </c>
      <c r="AM1345" t="e" cm="1">
        <f t="array" aca="1" ref="AM1345" ca="1">IF(B1345="Yes",YEAR(TODAY()),BLANK())</f>
        <v>#NAME?</v>
      </c>
      <c r="AN1345" t="str" cm="1">
        <f t="array" ref="AN1345" xml:space="preserve"> _xlfn.IFS(A1345&lt;25,"&lt;25",
A1345&lt;=35,"25-35",
A1345&lt;=45,"36-45",
TRUE,"45+"
)</f>
        <v>25-35</v>
      </c>
      <c r="AO1345" t="str" cm="1">
        <f t="array" ref="AO1345">_xlfn.IFS(S1345&lt;5000,"Low",
S1345&lt;=15000,"Medium",
TRUE,"High")</f>
        <v>Low</v>
      </c>
    </row>
    <row r="1346" spans="1:41" hidden="1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 t="str">
        <f t="shared" si="60"/>
        <v>Active</v>
      </c>
      <c r="AK1346">
        <f t="shared" ca="1" si="61"/>
        <v>2009</v>
      </c>
      <c r="AL1346">
        <f t="shared" si="62"/>
        <v>0</v>
      </c>
      <c r="AM1346" t="e" cm="1">
        <f t="array" aca="1" ref="AM1346" ca="1">IF(B1346="Yes",YEAR(TODAY()),BLANK())</f>
        <v>#NAME?</v>
      </c>
      <c r="AN1346" t="str" cm="1">
        <f t="array" ref="AN1346" xml:space="preserve"> _xlfn.IFS(A1346&lt;25,"&lt;25",
A1346&lt;=35,"25-35",
A1346&lt;=45,"36-45",
TRUE,"45+"
)</f>
        <v>36-45</v>
      </c>
      <c r="AO1346" t="str" cm="1">
        <f t="array" ref="AO1346">_xlfn.IFS(S1346&lt;5000,"Low",
S1346&lt;=15000,"Medium",
TRUE,"High")</f>
        <v>Low</v>
      </c>
    </row>
    <row r="1347" spans="1:41" hidden="1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 t="str">
        <f t="shared" ref="AJ1347:AJ1410" si="63">IF(B1347="Yes", "Resigned","Active")</f>
        <v>Active</v>
      </c>
      <c r="AK1347">
        <f t="shared" ref="AK1347:AK1410" ca="1" si="64">YEAR(TODAY()) - AC1347</f>
        <v>2021</v>
      </c>
      <c r="AL1347">
        <f t="shared" ref="AL1347:AL1410" si="65">IF(B1347="Yes",1,0)</f>
        <v>0</v>
      </c>
      <c r="AM1347" t="e" cm="1">
        <f t="array" aca="1" ref="AM1347" ca="1">IF(B1347="Yes",YEAR(TODAY()),BLANK())</f>
        <v>#NAME?</v>
      </c>
      <c r="AN1347" t="str" cm="1">
        <f t="array" ref="AN1347" xml:space="preserve"> _xlfn.IFS(A1347&lt;25,"&lt;25",
A1347&lt;=35,"25-35",
A1347&lt;=45,"36-45",
TRUE,"45+"
)</f>
        <v>25-35</v>
      </c>
      <c r="AO1347" t="str" cm="1">
        <f t="array" ref="AO1347">_xlfn.IFS(S1347&lt;5000,"Low",
S1347&lt;=15000,"Medium",
TRUE,"High")</f>
        <v>Low</v>
      </c>
    </row>
    <row r="1348" spans="1:41" hidden="1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 t="str">
        <f t="shared" si="63"/>
        <v>Active</v>
      </c>
      <c r="AK1348">
        <f t="shared" ca="1" si="64"/>
        <v>2015</v>
      </c>
      <c r="AL1348">
        <f t="shared" si="65"/>
        <v>0</v>
      </c>
      <c r="AM1348" t="e" cm="1">
        <f t="array" aca="1" ref="AM1348" ca="1">IF(B1348="Yes",YEAR(TODAY()),BLANK())</f>
        <v>#NAME?</v>
      </c>
      <c r="AN1348" t="str" cm="1">
        <f t="array" ref="AN1348" xml:space="preserve"> _xlfn.IFS(A1348&lt;25,"&lt;25",
A1348&lt;=35,"25-35",
A1348&lt;=45,"36-45",
TRUE,"45+"
)</f>
        <v>36-45</v>
      </c>
      <c r="AO1348" t="str" cm="1">
        <f t="array" ref="AO1348">_xlfn.IFS(S1348&lt;5000,"Low",
S1348&lt;=15000,"Medium",
TRUE,"High")</f>
        <v>Medium</v>
      </c>
    </row>
    <row r="1349" spans="1:41" hidden="1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 t="str">
        <f t="shared" si="63"/>
        <v>Active</v>
      </c>
      <c r="AK1349">
        <f t="shared" ca="1" si="64"/>
        <v>2015</v>
      </c>
      <c r="AL1349">
        <f t="shared" si="65"/>
        <v>0</v>
      </c>
      <c r="AM1349" t="e" cm="1">
        <f t="array" aca="1" ref="AM1349" ca="1">IF(B1349="Yes",YEAR(TODAY()),BLANK())</f>
        <v>#NAME?</v>
      </c>
      <c r="AN1349" t="str" cm="1">
        <f t="array" ref="AN1349" xml:space="preserve"> _xlfn.IFS(A1349&lt;25,"&lt;25",
A1349&lt;=35,"25-35",
A1349&lt;=45,"36-45",
TRUE,"45+"
)</f>
        <v>36-45</v>
      </c>
      <c r="AO1349" t="str" cm="1">
        <f t="array" ref="AO1349">_xlfn.IFS(S1349&lt;5000,"Low",
S1349&lt;=15000,"Medium",
TRUE,"High")</f>
        <v>Low</v>
      </c>
    </row>
    <row r="1350" spans="1:41" hidden="1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 t="str">
        <f t="shared" si="63"/>
        <v>Active</v>
      </c>
      <c r="AK1350">
        <f t="shared" ca="1" si="64"/>
        <v>2003</v>
      </c>
      <c r="AL1350">
        <f t="shared" si="65"/>
        <v>0</v>
      </c>
      <c r="AM1350" t="e" cm="1">
        <f t="array" aca="1" ref="AM1350" ca="1">IF(B1350="Yes",YEAR(TODAY()),BLANK())</f>
        <v>#NAME?</v>
      </c>
      <c r="AN1350" t="str" cm="1">
        <f t="array" ref="AN1350" xml:space="preserve"> _xlfn.IFS(A1350&lt;25,"&lt;25",
A1350&lt;=35,"25-35",
A1350&lt;=45,"36-45",
TRUE,"45+"
)</f>
        <v>36-45</v>
      </c>
      <c r="AO1350" t="str" cm="1">
        <f t="array" ref="AO1350">_xlfn.IFS(S1350&lt;5000,"Low",
S1350&lt;=15000,"Medium",
TRUE,"High")</f>
        <v>High</v>
      </c>
    </row>
    <row r="1351" spans="1:41" hidden="1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 t="str">
        <f t="shared" si="63"/>
        <v>Active</v>
      </c>
      <c r="AK1351">
        <f t="shared" ca="1" si="64"/>
        <v>2024</v>
      </c>
      <c r="AL1351">
        <f t="shared" si="65"/>
        <v>0</v>
      </c>
      <c r="AM1351" t="e" cm="1">
        <f t="array" aca="1" ref="AM1351" ca="1">IF(B1351="Yes",YEAR(TODAY()),BLANK())</f>
        <v>#NAME?</v>
      </c>
      <c r="AN1351" t="str" cm="1">
        <f t="array" ref="AN1351" xml:space="preserve"> _xlfn.IFS(A1351&lt;25,"&lt;25",
A1351&lt;=35,"25-35",
A1351&lt;=45,"36-45",
TRUE,"45+"
)</f>
        <v>25-35</v>
      </c>
      <c r="AO1351" t="str" cm="1">
        <f t="array" ref="AO1351">_xlfn.IFS(S1351&lt;5000,"Low",
S1351&lt;=15000,"Medium",
TRUE,"High")</f>
        <v>Low</v>
      </c>
    </row>
    <row r="1352" spans="1:41" hidden="1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 t="str">
        <f t="shared" si="63"/>
        <v>Active</v>
      </c>
      <c r="AK1352">
        <f t="shared" ca="1" si="64"/>
        <v>2016</v>
      </c>
      <c r="AL1352">
        <f t="shared" si="65"/>
        <v>0</v>
      </c>
      <c r="AM1352" t="e" cm="1">
        <f t="array" aca="1" ref="AM1352" ca="1">IF(B1352="Yes",YEAR(TODAY()),BLANK())</f>
        <v>#NAME?</v>
      </c>
      <c r="AN1352" t="str" cm="1">
        <f t="array" ref="AN1352" xml:space="preserve"> _xlfn.IFS(A1352&lt;25,"&lt;25",
A1352&lt;=35,"25-35",
A1352&lt;=45,"36-45",
TRUE,"45+"
)</f>
        <v>25-35</v>
      </c>
      <c r="AO1352" t="str" cm="1">
        <f t="array" ref="AO1352">_xlfn.IFS(S1352&lt;5000,"Low",
S1352&lt;=15000,"Medium",
TRUE,"High")</f>
        <v>Medium</v>
      </c>
    </row>
    <row r="1353" spans="1:41" hidden="1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 t="str">
        <f t="shared" si="63"/>
        <v>Active</v>
      </c>
      <c r="AK1353">
        <f t="shared" ca="1" si="64"/>
        <v>2001</v>
      </c>
      <c r="AL1353">
        <f t="shared" si="65"/>
        <v>0</v>
      </c>
      <c r="AM1353" t="e" cm="1">
        <f t="array" aca="1" ref="AM1353" ca="1">IF(B1353="Yes",YEAR(TODAY()),BLANK())</f>
        <v>#NAME?</v>
      </c>
      <c r="AN1353" t="str" cm="1">
        <f t="array" ref="AN1353" xml:space="preserve"> _xlfn.IFS(A1353&lt;25,"&lt;25",
A1353&lt;=35,"25-35",
A1353&lt;=45,"36-45",
TRUE,"45+"
)</f>
        <v>45+</v>
      </c>
      <c r="AO1353" t="str" cm="1">
        <f t="array" ref="AO1353">_xlfn.IFS(S1353&lt;5000,"Low",
S1353&lt;=15000,"Medium",
TRUE,"High")</f>
        <v>High</v>
      </c>
    </row>
    <row r="1354" spans="1:41" hidden="1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 t="str">
        <f t="shared" si="63"/>
        <v>Active</v>
      </c>
      <c r="AK1354">
        <f t="shared" ca="1" si="64"/>
        <v>2015</v>
      </c>
      <c r="AL1354">
        <f t="shared" si="65"/>
        <v>0</v>
      </c>
      <c r="AM1354" t="e" cm="1">
        <f t="array" aca="1" ref="AM1354" ca="1">IF(B1354="Yes",YEAR(TODAY()),BLANK())</f>
        <v>#NAME?</v>
      </c>
      <c r="AN1354" t="str" cm="1">
        <f t="array" ref="AN1354" xml:space="preserve"> _xlfn.IFS(A1354&lt;25,"&lt;25",
A1354&lt;=35,"25-35",
A1354&lt;=45,"36-45",
TRUE,"45+"
)</f>
        <v>36-45</v>
      </c>
      <c r="AO1354" t="str" cm="1">
        <f t="array" ref="AO1354">_xlfn.IFS(S1354&lt;5000,"Low",
S1354&lt;=15000,"Medium",
TRUE,"High")</f>
        <v>Medium</v>
      </c>
    </row>
    <row r="1355" spans="1:41" hidden="1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 t="str">
        <f t="shared" si="63"/>
        <v>Resigned</v>
      </c>
      <c r="AK1355">
        <f t="shared" ca="1" si="64"/>
        <v>2020</v>
      </c>
      <c r="AL1355">
        <f t="shared" si="65"/>
        <v>1</v>
      </c>
      <c r="AM1355" cm="1">
        <f t="array" aca="1" ref="AM1355" ca="1">IF(B1355="Yes",YEAR(TODAY()),BLANK())</f>
        <v>2025</v>
      </c>
      <c r="AN1355" t="str" cm="1">
        <f t="array" ref="AN1355" xml:space="preserve"> _xlfn.IFS(A1355&lt;25,"&lt;25",
A1355&lt;=35,"25-35",
A1355&lt;=45,"36-45",
TRUE,"45+"
)</f>
        <v>25-35</v>
      </c>
      <c r="AO1355" t="str" cm="1">
        <f t="array" ref="AO1355">_xlfn.IFS(S1355&lt;5000,"Low",
S1355&lt;=15000,"Medium",
TRUE,"High")</f>
        <v>Low</v>
      </c>
    </row>
    <row r="1356" spans="1:41" hidden="1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 t="str">
        <f t="shared" si="63"/>
        <v>Resigned</v>
      </c>
      <c r="AK1356">
        <f t="shared" ca="1" si="64"/>
        <v>2020</v>
      </c>
      <c r="AL1356">
        <f t="shared" si="65"/>
        <v>1</v>
      </c>
      <c r="AM1356" cm="1">
        <f t="array" aca="1" ref="AM1356" ca="1">IF(B1356="Yes",YEAR(TODAY()),BLANK())</f>
        <v>2025</v>
      </c>
      <c r="AN1356" t="str" cm="1">
        <f t="array" ref="AN1356" xml:space="preserve"> _xlfn.IFS(A1356&lt;25,"&lt;25",
A1356&lt;=35,"25-35",
A1356&lt;=45,"36-45",
TRUE,"45+"
)</f>
        <v>45+</v>
      </c>
      <c r="AO1356" t="str" cm="1">
        <f t="array" ref="AO1356">_xlfn.IFS(S1356&lt;5000,"Low",
S1356&lt;=15000,"Medium",
TRUE,"High")</f>
        <v>Low</v>
      </c>
    </row>
    <row r="1357" spans="1:41" hidden="1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 t="str">
        <f t="shared" si="63"/>
        <v>Active</v>
      </c>
      <c r="AK1357">
        <f t="shared" ca="1" si="64"/>
        <v>2013</v>
      </c>
      <c r="AL1357">
        <f t="shared" si="65"/>
        <v>0</v>
      </c>
      <c r="AM1357" t="e" cm="1">
        <f t="array" aca="1" ref="AM1357" ca="1">IF(B1357="Yes",YEAR(TODAY()),BLANK())</f>
        <v>#NAME?</v>
      </c>
      <c r="AN1357" t="str" cm="1">
        <f t="array" ref="AN1357" xml:space="preserve"> _xlfn.IFS(A1357&lt;25,"&lt;25",
A1357&lt;=35,"25-35",
A1357&lt;=45,"36-45",
TRUE,"45+"
)</f>
        <v>36-45</v>
      </c>
      <c r="AO1357" t="str" cm="1">
        <f t="array" ref="AO1357">_xlfn.IFS(S1357&lt;5000,"Low",
S1357&lt;=15000,"Medium",
TRUE,"High")</f>
        <v>Medium</v>
      </c>
    </row>
    <row r="1358" spans="1:41" hidden="1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 t="str">
        <f t="shared" si="63"/>
        <v>Active</v>
      </c>
      <c r="AK1358">
        <f t="shared" ca="1" si="64"/>
        <v>2011</v>
      </c>
      <c r="AL1358">
        <f t="shared" si="65"/>
        <v>0</v>
      </c>
      <c r="AM1358" t="e" cm="1">
        <f t="array" aca="1" ref="AM1358" ca="1">IF(B1358="Yes",YEAR(TODAY()),BLANK())</f>
        <v>#NAME?</v>
      </c>
      <c r="AN1358" t="str" cm="1">
        <f t="array" ref="AN1358" xml:space="preserve"> _xlfn.IFS(A1358&lt;25,"&lt;25",
A1358&lt;=35,"25-35",
A1358&lt;=45,"36-45",
TRUE,"45+"
)</f>
        <v>36-45</v>
      </c>
      <c r="AO1358" t="str" cm="1">
        <f t="array" ref="AO1358">_xlfn.IFS(S1358&lt;5000,"Low",
S1358&lt;=15000,"Medium",
TRUE,"High")</f>
        <v>Low</v>
      </c>
    </row>
    <row r="1359" spans="1:41" hidden="1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 t="str">
        <f t="shared" si="63"/>
        <v>Active</v>
      </c>
      <c r="AK1359">
        <f t="shared" ca="1" si="64"/>
        <v>2007</v>
      </c>
      <c r="AL1359">
        <f t="shared" si="65"/>
        <v>0</v>
      </c>
      <c r="AM1359" t="e" cm="1">
        <f t="array" aca="1" ref="AM1359" ca="1">IF(B1359="Yes",YEAR(TODAY()),BLANK())</f>
        <v>#NAME?</v>
      </c>
      <c r="AN1359" t="str" cm="1">
        <f t="array" ref="AN1359" xml:space="preserve"> _xlfn.IFS(A1359&lt;25,"&lt;25",
A1359&lt;=35,"25-35",
A1359&lt;=45,"36-45",
TRUE,"45+"
)</f>
        <v>36-45</v>
      </c>
      <c r="AO1359" t="str" cm="1">
        <f t="array" ref="AO1359">_xlfn.IFS(S1359&lt;5000,"Low",
S1359&lt;=15000,"Medium",
TRUE,"High")</f>
        <v>Medium</v>
      </c>
    </row>
    <row r="1360" spans="1:41" hidden="1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 t="str">
        <f t="shared" si="63"/>
        <v>Active</v>
      </c>
      <c r="AK1360">
        <f t="shared" ca="1" si="64"/>
        <v>2017</v>
      </c>
      <c r="AL1360">
        <f t="shared" si="65"/>
        <v>0</v>
      </c>
      <c r="AM1360" t="e" cm="1">
        <f t="array" aca="1" ref="AM1360" ca="1">IF(B1360="Yes",YEAR(TODAY()),BLANK())</f>
        <v>#NAME?</v>
      </c>
      <c r="AN1360" t="str" cm="1">
        <f t="array" ref="AN1360" xml:space="preserve"> _xlfn.IFS(A1360&lt;25,"&lt;25",
A1360&lt;=35,"25-35",
A1360&lt;=45,"36-45",
TRUE,"45+"
)</f>
        <v>25-35</v>
      </c>
      <c r="AO1360" t="str" cm="1">
        <f t="array" ref="AO1360">_xlfn.IFS(S1360&lt;5000,"Low",
S1360&lt;=15000,"Medium",
TRUE,"High")</f>
        <v>Medium</v>
      </c>
    </row>
    <row r="1361" spans="1:41" hidden="1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 t="str">
        <f t="shared" si="63"/>
        <v>Active</v>
      </c>
      <c r="AK1361">
        <f t="shared" ca="1" si="64"/>
        <v>2016</v>
      </c>
      <c r="AL1361">
        <f t="shared" si="65"/>
        <v>0</v>
      </c>
      <c r="AM1361" t="e" cm="1">
        <f t="array" aca="1" ref="AM1361" ca="1">IF(B1361="Yes",YEAR(TODAY()),BLANK())</f>
        <v>#NAME?</v>
      </c>
      <c r="AN1361" t="str" cm="1">
        <f t="array" ref="AN1361" xml:space="preserve"> _xlfn.IFS(A1361&lt;25,"&lt;25",
A1361&lt;=35,"25-35",
A1361&lt;=45,"36-45",
TRUE,"45+"
)</f>
        <v>25-35</v>
      </c>
      <c r="AO1361" t="str" cm="1">
        <f t="array" ref="AO1361">_xlfn.IFS(S1361&lt;5000,"Low",
S1361&lt;=15000,"Medium",
TRUE,"High")</f>
        <v>Medium</v>
      </c>
    </row>
    <row r="1362" spans="1:41" hidden="1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 t="str">
        <f t="shared" si="63"/>
        <v>Active</v>
      </c>
      <c r="AK1362">
        <f t="shared" ca="1" si="64"/>
        <v>2021</v>
      </c>
      <c r="AL1362">
        <f t="shared" si="65"/>
        <v>0</v>
      </c>
      <c r="AM1362" t="e" cm="1">
        <f t="array" aca="1" ref="AM1362" ca="1">IF(B1362="Yes",YEAR(TODAY()),BLANK())</f>
        <v>#NAME?</v>
      </c>
      <c r="AN1362" t="str" cm="1">
        <f t="array" ref="AN1362" xml:space="preserve"> _xlfn.IFS(A1362&lt;25,"&lt;25",
A1362&lt;=35,"25-35",
A1362&lt;=45,"36-45",
TRUE,"45+"
)</f>
        <v>25-35</v>
      </c>
      <c r="AO1362" t="str" cm="1">
        <f t="array" ref="AO1362">_xlfn.IFS(S1362&lt;5000,"Low",
S1362&lt;=15000,"Medium",
TRUE,"High")</f>
        <v>Low</v>
      </c>
    </row>
    <row r="1363" spans="1:41" hidden="1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 t="str">
        <f t="shared" si="63"/>
        <v>Active</v>
      </c>
      <c r="AK1363">
        <f t="shared" ca="1" si="64"/>
        <v>2017</v>
      </c>
      <c r="AL1363">
        <f t="shared" si="65"/>
        <v>0</v>
      </c>
      <c r="AM1363" t="e" cm="1">
        <f t="array" aca="1" ref="AM1363" ca="1">IF(B1363="Yes",YEAR(TODAY()),BLANK())</f>
        <v>#NAME?</v>
      </c>
      <c r="AN1363" t="str" cm="1">
        <f t="array" ref="AN1363" xml:space="preserve"> _xlfn.IFS(A1363&lt;25,"&lt;25",
A1363&lt;=35,"25-35",
A1363&lt;=45,"36-45",
TRUE,"45+"
)</f>
        <v>25-35</v>
      </c>
      <c r="AO1363" t="str" cm="1">
        <f t="array" ref="AO1363">_xlfn.IFS(S1363&lt;5000,"Low",
S1363&lt;=15000,"Medium",
TRUE,"High")</f>
        <v>Low</v>
      </c>
    </row>
    <row r="1364" spans="1:41" hidden="1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 t="str">
        <f t="shared" si="63"/>
        <v>Active</v>
      </c>
      <c r="AK1364">
        <f t="shared" ca="1" si="64"/>
        <v>2013</v>
      </c>
      <c r="AL1364">
        <f t="shared" si="65"/>
        <v>0</v>
      </c>
      <c r="AM1364" t="e" cm="1">
        <f t="array" aca="1" ref="AM1364" ca="1">IF(B1364="Yes",YEAR(TODAY()),BLANK())</f>
        <v>#NAME?</v>
      </c>
      <c r="AN1364" t="str" cm="1">
        <f t="array" ref="AN1364" xml:space="preserve"> _xlfn.IFS(A1364&lt;25,"&lt;25",
A1364&lt;=35,"25-35",
A1364&lt;=45,"36-45",
TRUE,"45+"
)</f>
        <v>36-45</v>
      </c>
      <c r="AO1364" t="str" cm="1">
        <f t="array" ref="AO1364">_xlfn.IFS(S1364&lt;5000,"Low",
S1364&lt;=15000,"Medium",
TRUE,"High")</f>
        <v>Medium</v>
      </c>
    </row>
    <row r="1365" spans="1:41" hidden="1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 t="str">
        <f t="shared" si="63"/>
        <v>Active</v>
      </c>
      <c r="AK1365">
        <f t="shared" ca="1" si="64"/>
        <v>2015</v>
      </c>
      <c r="AL1365">
        <f t="shared" si="65"/>
        <v>0</v>
      </c>
      <c r="AM1365" t="e" cm="1">
        <f t="array" aca="1" ref="AM1365" ca="1">IF(B1365="Yes",YEAR(TODAY()),BLANK())</f>
        <v>#NAME?</v>
      </c>
      <c r="AN1365" t="str" cm="1">
        <f t="array" ref="AN1365" xml:space="preserve"> _xlfn.IFS(A1365&lt;25,"&lt;25",
A1365&lt;=35,"25-35",
A1365&lt;=45,"36-45",
TRUE,"45+"
)</f>
        <v>25-35</v>
      </c>
      <c r="AO1365" t="str" cm="1">
        <f t="array" ref="AO1365">_xlfn.IFS(S1365&lt;5000,"Low",
S1365&lt;=15000,"Medium",
TRUE,"High")</f>
        <v>Medium</v>
      </c>
    </row>
    <row r="1366" spans="1:41" hidden="1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 t="str">
        <f t="shared" si="63"/>
        <v>Active</v>
      </c>
      <c r="AK1366">
        <f t="shared" ca="1" si="64"/>
        <v>2018</v>
      </c>
      <c r="AL1366">
        <f t="shared" si="65"/>
        <v>0</v>
      </c>
      <c r="AM1366" t="e" cm="1">
        <f t="array" aca="1" ref="AM1366" ca="1">IF(B1366="Yes",YEAR(TODAY()),BLANK())</f>
        <v>#NAME?</v>
      </c>
      <c r="AN1366" t="str" cm="1">
        <f t="array" ref="AN1366" xml:space="preserve"> _xlfn.IFS(A1366&lt;25,"&lt;25",
A1366&lt;=35,"25-35",
A1366&lt;=45,"36-45",
TRUE,"45+"
)</f>
        <v>25-35</v>
      </c>
      <c r="AO1366" t="str" cm="1">
        <f t="array" ref="AO1366">_xlfn.IFS(S1366&lt;5000,"Low",
S1366&lt;=15000,"Medium",
TRUE,"High")</f>
        <v>Medium</v>
      </c>
    </row>
    <row r="1367" spans="1:41" hidden="1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 t="str">
        <f t="shared" si="63"/>
        <v>Resigned</v>
      </c>
      <c r="AK1367">
        <f t="shared" ca="1" si="64"/>
        <v>2024</v>
      </c>
      <c r="AL1367">
        <f t="shared" si="65"/>
        <v>1</v>
      </c>
      <c r="AM1367" cm="1">
        <f t="array" aca="1" ref="AM1367" ca="1">IF(B1367="Yes",YEAR(TODAY()),BLANK())</f>
        <v>2025</v>
      </c>
      <c r="AN1367" t="str" cm="1">
        <f t="array" ref="AN1367" xml:space="preserve"> _xlfn.IFS(A1367&lt;25,"&lt;25",
A1367&lt;=35,"25-35",
A1367&lt;=45,"36-45",
TRUE,"45+"
)</f>
        <v>25-35</v>
      </c>
      <c r="AO1367" t="str" cm="1">
        <f t="array" ref="AO1367">_xlfn.IFS(S1367&lt;5000,"Low",
S1367&lt;=15000,"Medium",
TRUE,"High")</f>
        <v>Low</v>
      </c>
    </row>
    <row r="1368" spans="1:41" hidden="1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 t="str">
        <f t="shared" si="63"/>
        <v>Active</v>
      </c>
      <c r="AK1368">
        <f t="shared" ca="1" si="64"/>
        <v>2015</v>
      </c>
      <c r="AL1368">
        <f t="shared" si="65"/>
        <v>0</v>
      </c>
      <c r="AM1368" t="e" cm="1">
        <f t="array" aca="1" ref="AM1368" ca="1">IF(B1368="Yes",YEAR(TODAY()),BLANK())</f>
        <v>#NAME?</v>
      </c>
      <c r="AN1368" t="str" cm="1">
        <f t="array" ref="AN1368" xml:space="preserve"> _xlfn.IFS(A1368&lt;25,"&lt;25",
A1368&lt;=35,"25-35",
A1368&lt;=45,"36-45",
TRUE,"45+"
)</f>
        <v>36-45</v>
      </c>
      <c r="AO1368" t="str" cm="1">
        <f t="array" ref="AO1368">_xlfn.IFS(S1368&lt;5000,"Low",
S1368&lt;=15000,"Medium",
TRUE,"High")</f>
        <v>Medium</v>
      </c>
    </row>
    <row r="1369" spans="1:41" hidden="1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 t="str">
        <f t="shared" si="63"/>
        <v>Active</v>
      </c>
      <c r="AK1369">
        <f t="shared" ca="1" si="64"/>
        <v>2019</v>
      </c>
      <c r="AL1369">
        <f t="shared" si="65"/>
        <v>0</v>
      </c>
      <c r="AM1369" t="e" cm="1">
        <f t="array" aca="1" ref="AM1369" ca="1">IF(B1369="Yes",YEAR(TODAY()),BLANK())</f>
        <v>#NAME?</v>
      </c>
      <c r="AN1369" t="str" cm="1">
        <f t="array" ref="AN1369" xml:space="preserve"> _xlfn.IFS(A1369&lt;25,"&lt;25",
A1369&lt;=35,"25-35",
A1369&lt;=45,"36-45",
TRUE,"45+"
)</f>
        <v>25-35</v>
      </c>
      <c r="AO1369" t="str" cm="1">
        <f t="array" ref="AO1369">_xlfn.IFS(S1369&lt;5000,"Low",
S1369&lt;=15000,"Medium",
TRUE,"High")</f>
        <v>Low</v>
      </c>
    </row>
    <row r="1370" spans="1:41" hidden="1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 t="str">
        <f t="shared" si="63"/>
        <v>Active</v>
      </c>
      <c r="AK1370">
        <f t="shared" ca="1" si="64"/>
        <v>2009</v>
      </c>
      <c r="AL1370">
        <f t="shared" si="65"/>
        <v>0</v>
      </c>
      <c r="AM1370" t="e" cm="1">
        <f t="array" aca="1" ref="AM1370" ca="1">IF(B1370="Yes",YEAR(TODAY()),BLANK())</f>
        <v>#NAME?</v>
      </c>
      <c r="AN1370" t="str" cm="1">
        <f t="array" ref="AN1370" xml:space="preserve"> _xlfn.IFS(A1370&lt;25,"&lt;25",
A1370&lt;=35,"25-35",
A1370&lt;=45,"36-45",
TRUE,"45+"
)</f>
        <v>25-35</v>
      </c>
      <c r="AO1370" t="str" cm="1">
        <f t="array" ref="AO1370">_xlfn.IFS(S1370&lt;5000,"Low",
S1370&lt;=15000,"Medium",
TRUE,"High")</f>
        <v>Medium</v>
      </c>
    </row>
    <row r="1371" spans="1:41" hidden="1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 t="str">
        <f t="shared" si="63"/>
        <v>Resigned</v>
      </c>
      <c r="AK1371">
        <f t="shared" ca="1" si="64"/>
        <v>2019</v>
      </c>
      <c r="AL1371">
        <f t="shared" si="65"/>
        <v>1</v>
      </c>
      <c r="AM1371" cm="1">
        <f t="array" aca="1" ref="AM1371" ca="1">IF(B1371="Yes",YEAR(TODAY()),BLANK())</f>
        <v>2025</v>
      </c>
      <c r="AN1371" t="str" cm="1">
        <f t="array" ref="AN1371" xml:space="preserve"> _xlfn.IFS(A1371&lt;25,"&lt;25",
A1371&lt;=35,"25-35",
A1371&lt;=45,"36-45",
TRUE,"45+"
)</f>
        <v>25-35</v>
      </c>
      <c r="AO1371" t="str" cm="1">
        <f t="array" ref="AO1371">_xlfn.IFS(S1371&lt;5000,"Low",
S1371&lt;=15000,"Medium",
TRUE,"High")</f>
        <v>Medium</v>
      </c>
    </row>
    <row r="1372" spans="1:41" hidden="1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 t="str">
        <f t="shared" si="63"/>
        <v>Active</v>
      </c>
      <c r="AK1372">
        <f t="shared" ca="1" si="64"/>
        <v>2009</v>
      </c>
      <c r="AL1372">
        <f t="shared" si="65"/>
        <v>0</v>
      </c>
      <c r="AM1372" t="e" cm="1">
        <f t="array" aca="1" ref="AM1372" ca="1">IF(B1372="Yes",YEAR(TODAY()),BLANK())</f>
        <v>#NAME?</v>
      </c>
      <c r="AN1372" t="str" cm="1">
        <f t="array" ref="AN1372" xml:space="preserve"> _xlfn.IFS(A1372&lt;25,"&lt;25",
A1372&lt;=35,"25-35",
A1372&lt;=45,"36-45",
TRUE,"45+"
)</f>
        <v>45+</v>
      </c>
      <c r="AO1372" t="str" cm="1">
        <f t="array" ref="AO1372">_xlfn.IFS(S1372&lt;5000,"Low",
S1372&lt;=15000,"Medium",
TRUE,"High")</f>
        <v>Medium</v>
      </c>
    </row>
    <row r="1373" spans="1:41" hidden="1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 t="str">
        <f t="shared" si="63"/>
        <v>Active</v>
      </c>
      <c r="AK1373">
        <f t="shared" ca="1" si="64"/>
        <v>2019</v>
      </c>
      <c r="AL1373">
        <f t="shared" si="65"/>
        <v>0</v>
      </c>
      <c r="AM1373" t="e" cm="1">
        <f t="array" aca="1" ref="AM1373" ca="1">IF(B1373="Yes",YEAR(TODAY()),BLANK())</f>
        <v>#NAME?</v>
      </c>
      <c r="AN1373" t="str" cm="1">
        <f t="array" ref="AN1373" xml:space="preserve"> _xlfn.IFS(A1373&lt;25,"&lt;25",
A1373&lt;=35,"25-35",
A1373&lt;=45,"36-45",
TRUE,"45+"
)</f>
        <v>45+</v>
      </c>
      <c r="AO1373" t="str" cm="1">
        <f t="array" ref="AO1373">_xlfn.IFS(S1373&lt;5000,"Low",
S1373&lt;=15000,"Medium",
TRUE,"High")</f>
        <v>Medium</v>
      </c>
    </row>
    <row r="1374" spans="1:41" hidden="1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 t="str">
        <f t="shared" si="63"/>
        <v>Active</v>
      </c>
      <c r="AK1374">
        <f t="shared" ca="1" si="64"/>
        <v>2015</v>
      </c>
      <c r="AL1374">
        <f t="shared" si="65"/>
        <v>0</v>
      </c>
      <c r="AM1374" t="e" cm="1">
        <f t="array" aca="1" ref="AM1374" ca="1">IF(B1374="Yes",YEAR(TODAY()),BLANK())</f>
        <v>#NAME?</v>
      </c>
      <c r="AN1374" t="str" cm="1">
        <f t="array" ref="AN1374" xml:space="preserve"> _xlfn.IFS(A1374&lt;25,"&lt;25",
A1374&lt;=35,"25-35",
A1374&lt;=45,"36-45",
TRUE,"45+"
)</f>
        <v>36-45</v>
      </c>
      <c r="AO1374" t="str" cm="1">
        <f t="array" ref="AO1374">_xlfn.IFS(S1374&lt;5000,"Low",
S1374&lt;=15000,"Medium",
TRUE,"High")</f>
        <v>Medium</v>
      </c>
    </row>
    <row r="1375" spans="1:41" hidden="1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 t="str">
        <f t="shared" si="63"/>
        <v>Active</v>
      </c>
      <c r="AK1375">
        <f t="shared" ca="1" si="64"/>
        <v>2005</v>
      </c>
      <c r="AL1375">
        <f t="shared" si="65"/>
        <v>0</v>
      </c>
      <c r="AM1375" t="e" cm="1">
        <f t="array" aca="1" ref="AM1375" ca="1">IF(B1375="Yes",YEAR(TODAY()),BLANK())</f>
        <v>#NAME?</v>
      </c>
      <c r="AN1375" t="str" cm="1">
        <f t="array" ref="AN1375" xml:space="preserve"> _xlfn.IFS(A1375&lt;25,"&lt;25",
A1375&lt;=35,"25-35",
A1375&lt;=45,"36-45",
TRUE,"45+"
)</f>
        <v>36-45</v>
      </c>
      <c r="AO1375" t="str" cm="1">
        <f t="array" ref="AO1375">_xlfn.IFS(S1375&lt;5000,"Low",
S1375&lt;=15000,"Medium",
TRUE,"High")</f>
        <v>Low</v>
      </c>
    </row>
    <row r="1376" spans="1:41" hidden="1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 t="str">
        <f t="shared" si="63"/>
        <v>Active</v>
      </c>
      <c r="AK1376">
        <f t="shared" ca="1" si="64"/>
        <v>1996</v>
      </c>
      <c r="AL1376">
        <f t="shared" si="65"/>
        <v>0</v>
      </c>
      <c r="AM1376" t="e" cm="1">
        <f t="array" aca="1" ref="AM1376" ca="1">IF(B1376="Yes",YEAR(TODAY()),BLANK())</f>
        <v>#NAME?</v>
      </c>
      <c r="AN1376" t="str" cm="1">
        <f t="array" ref="AN1376" xml:space="preserve"> _xlfn.IFS(A1376&lt;25,"&lt;25",
A1376&lt;=35,"25-35",
A1376&lt;=45,"36-45",
TRUE,"45+"
)</f>
        <v>45+</v>
      </c>
      <c r="AO1376" t="str" cm="1">
        <f t="array" ref="AO1376">_xlfn.IFS(S1376&lt;5000,"Low",
S1376&lt;=15000,"Medium",
TRUE,"High")</f>
        <v>High</v>
      </c>
    </row>
    <row r="1377" spans="1:41" hidden="1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 t="str">
        <f t="shared" si="63"/>
        <v>Resigned</v>
      </c>
      <c r="AK1377">
        <f t="shared" ca="1" si="64"/>
        <v>2017</v>
      </c>
      <c r="AL1377">
        <f t="shared" si="65"/>
        <v>1</v>
      </c>
      <c r="AM1377" cm="1">
        <f t="array" aca="1" ref="AM1377" ca="1">IF(B1377="Yes",YEAR(TODAY()),BLANK())</f>
        <v>2025</v>
      </c>
      <c r="AN1377" t="str" cm="1">
        <f t="array" ref="AN1377" xml:space="preserve"> _xlfn.IFS(A1377&lt;25,"&lt;25",
A1377&lt;=35,"25-35",
A1377&lt;=45,"36-45",
TRUE,"45+"
)</f>
        <v>25-35</v>
      </c>
      <c r="AO1377" t="str" cm="1">
        <f t="array" ref="AO1377">_xlfn.IFS(S1377&lt;5000,"Low",
S1377&lt;=15000,"Medium",
TRUE,"High")</f>
        <v>Low</v>
      </c>
    </row>
    <row r="1378" spans="1:41" hidden="1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 t="str">
        <f t="shared" si="63"/>
        <v>Active</v>
      </c>
      <c r="AK1378">
        <f t="shared" ca="1" si="64"/>
        <v>2015</v>
      </c>
      <c r="AL1378">
        <f t="shared" si="65"/>
        <v>0</v>
      </c>
      <c r="AM1378" t="e" cm="1">
        <f t="array" aca="1" ref="AM1378" ca="1">IF(B1378="Yes",YEAR(TODAY()),BLANK())</f>
        <v>#NAME?</v>
      </c>
      <c r="AN1378" t="str" cm="1">
        <f t="array" ref="AN1378" xml:space="preserve"> _xlfn.IFS(A1378&lt;25,"&lt;25",
A1378&lt;=35,"25-35",
A1378&lt;=45,"36-45",
TRUE,"45+"
)</f>
        <v>36-45</v>
      </c>
      <c r="AO1378" t="str" cm="1">
        <f t="array" ref="AO1378">_xlfn.IFS(S1378&lt;5000,"Low",
S1378&lt;=15000,"Medium",
TRUE,"High")</f>
        <v>Low</v>
      </c>
    </row>
    <row r="1379" spans="1:41" hidden="1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 t="str">
        <f t="shared" si="63"/>
        <v>Active</v>
      </c>
      <c r="AK1379">
        <f t="shared" ca="1" si="64"/>
        <v>1997</v>
      </c>
      <c r="AL1379">
        <f t="shared" si="65"/>
        <v>0</v>
      </c>
      <c r="AM1379" t="e" cm="1">
        <f t="array" aca="1" ref="AM1379" ca="1">IF(B1379="Yes",YEAR(TODAY()),BLANK())</f>
        <v>#NAME?</v>
      </c>
      <c r="AN1379" t="str" cm="1">
        <f t="array" ref="AN1379" xml:space="preserve"> _xlfn.IFS(A1379&lt;25,"&lt;25",
A1379&lt;=35,"25-35",
A1379&lt;=45,"36-45",
TRUE,"45+"
)</f>
        <v>45+</v>
      </c>
      <c r="AO1379" t="str" cm="1">
        <f t="array" ref="AO1379">_xlfn.IFS(S1379&lt;5000,"Low",
S1379&lt;=15000,"Medium",
TRUE,"High")</f>
        <v>High</v>
      </c>
    </row>
    <row r="1380" spans="1:41" hidden="1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 t="str">
        <f t="shared" si="63"/>
        <v>Active</v>
      </c>
      <c r="AK1380">
        <f t="shared" ca="1" si="64"/>
        <v>2011</v>
      </c>
      <c r="AL1380">
        <f t="shared" si="65"/>
        <v>0</v>
      </c>
      <c r="AM1380" t="e" cm="1">
        <f t="array" aca="1" ref="AM1380" ca="1">IF(B1380="Yes",YEAR(TODAY()),BLANK())</f>
        <v>#NAME?</v>
      </c>
      <c r="AN1380" t="str" cm="1">
        <f t="array" ref="AN1380" xml:space="preserve"> _xlfn.IFS(A1380&lt;25,"&lt;25",
A1380&lt;=35,"25-35",
A1380&lt;=45,"36-45",
TRUE,"45+"
)</f>
        <v>36-45</v>
      </c>
      <c r="AO1380" t="str" cm="1">
        <f t="array" ref="AO1380">_xlfn.IFS(S1380&lt;5000,"Low",
S1380&lt;=15000,"Medium",
TRUE,"High")</f>
        <v>Medium</v>
      </c>
    </row>
    <row r="1381" spans="1:41" hidden="1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 t="str">
        <f t="shared" si="63"/>
        <v>Resigned</v>
      </c>
      <c r="AK1381">
        <f t="shared" ca="1" si="64"/>
        <v>2024</v>
      </c>
      <c r="AL1381">
        <f t="shared" si="65"/>
        <v>1</v>
      </c>
      <c r="AM1381" cm="1">
        <f t="array" aca="1" ref="AM1381" ca="1">IF(B1381="Yes",YEAR(TODAY()),BLANK())</f>
        <v>2025</v>
      </c>
      <c r="AN1381" t="str" cm="1">
        <f t="array" ref="AN1381" xml:space="preserve"> _xlfn.IFS(A1381&lt;25,"&lt;25",
A1381&lt;=35,"25-35",
A1381&lt;=45,"36-45",
TRUE,"45+"
)</f>
        <v>25-35</v>
      </c>
      <c r="AO1381" t="str" cm="1">
        <f t="array" ref="AO1381">_xlfn.IFS(S1381&lt;5000,"Low",
S1381&lt;=15000,"Medium",
TRUE,"High")</f>
        <v>Low</v>
      </c>
    </row>
    <row r="1382" spans="1:41" hidden="1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 t="str">
        <f t="shared" si="63"/>
        <v>Active</v>
      </c>
      <c r="AK1382">
        <f t="shared" ca="1" si="64"/>
        <v>2019</v>
      </c>
      <c r="AL1382">
        <f t="shared" si="65"/>
        <v>0</v>
      </c>
      <c r="AM1382" t="e" cm="1">
        <f t="array" aca="1" ref="AM1382" ca="1">IF(B1382="Yes",YEAR(TODAY()),BLANK())</f>
        <v>#NAME?</v>
      </c>
      <c r="AN1382" t="str" cm="1">
        <f t="array" ref="AN1382" xml:space="preserve"> _xlfn.IFS(A1382&lt;25,"&lt;25",
A1382&lt;=35,"25-35",
A1382&lt;=45,"36-45",
TRUE,"45+"
)</f>
        <v>25-35</v>
      </c>
      <c r="AO1382" t="str" cm="1">
        <f t="array" ref="AO1382">_xlfn.IFS(S1382&lt;5000,"Low",
S1382&lt;=15000,"Medium",
TRUE,"High")</f>
        <v>Medium</v>
      </c>
    </row>
    <row r="1383" spans="1:41" hidden="1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 t="str">
        <f t="shared" si="63"/>
        <v>Active</v>
      </c>
      <c r="AK1383">
        <f t="shared" ca="1" si="64"/>
        <v>2020</v>
      </c>
      <c r="AL1383">
        <f t="shared" si="65"/>
        <v>0</v>
      </c>
      <c r="AM1383" t="e" cm="1">
        <f t="array" aca="1" ref="AM1383" ca="1">IF(B1383="Yes",YEAR(TODAY()),BLANK())</f>
        <v>#NAME?</v>
      </c>
      <c r="AN1383" t="str" cm="1">
        <f t="array" ref="AN1383" xml:space="preserve"> _xlfn.IFS(A1383&lt;25,"&lt;25",
A1383&lt;=35,"25-35",
A1383&lt;=45,"36-45",
TRUE,"45+"
)</f>
        <v>25-35</v>
      </c>
      <c r="AO1383" t="str" cm="1">
        <f t="array" ref="AO1383">_xlfn.IFS(S1383&lt;5000,"Low",
S1383&lt;=15000,"Medium",
TRUE,"High")</f>
        <v>Low</v>
      </c>
    </row>
    <row r="1384" spans="1:41" hidden="1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 t="str">
        <f t="shared" si="63"/>
        <v>Active</v>
      </c>
      <c r="AK1384">
        <f t="shared" ca="1" si="64"/>
        <v>2021</v>
      </c>
      <c r="AL1384">
        <f t="shared" si="65"/>
        <v>0</v>
      </c>
      <c r="AM1384" t="e" cm="1">
        <f t="array" aca="1" ref="AM1384" ca="1">IF(B1384="Yes",YEAR(TODAY()),BLANK())</f>
        <v>#NAME?</v>
      </c>
      <c r="AN1384" t="str" cm="1">
        <f t="array" ref="AN1384" xml:space="preserve"> _xlfn.IFS(A1384&lt;25,"&lt;25",
A1384&lt;=35,"25-35",
A1384&lt;=45,"36-45",
TRUE,"45+"
)</f>
        <v>25-35</v>
      </c>
      <c r="AO1384" t="str" cm="1">
        <f t="array" ref="AO1384">_xlfn.IFS(S1384&lt;5000,"Low",
S1384&lt;=15000,"Medium",
TRUE,"High")</f>
        <v>Low</v>
      </c>
    </row>
    <row r="1385" spans="1:41" hidden="1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 t="str">
        <f t="shared" si="63"/>
        <v>Active</v>
      </c>
      <c r="AK1385">
        <f t="shared" ca="1" si="64"/>
        <v>2020</v>
      </c>
      <c r="AL1385">
        <f t="shared" si="65"/>
        <v>0</v>
      </c>
      <c r="AM1385" t="e" cm="1">
        <f t="array" aca="1" ref="AM1385" ca="1">IF(B1385="Yes",YEAR(TODAY()),BLANK())</f>
        <v>#NAME?</v>
      </c>
      <c r="AN1385" t="str" cm="1">
        <f t="array" ref="AN1385" xml:space="preserve"> _xlfn.IFS(A1385&lt;25,"&lt;25",
A1385&lt;=35,"25-35",
A1385&lt;=45,"36-45",
TRUE,"45+"
)</f>
        <v>36-45</v>
      </c>
      <c r="AO1385" t="str" cm="1">
        <f t="array" ref="AO1385">_xlfn.IFS(S1385&lt;5000,"Low",
S1385&lt;=15000,"Medium",
TRUE,"High")</f>
        <v>Low</v>
      </c>
    </row>
    <row r="1386" spans="1:41" hidden="1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 t="str">
        <f t="shared" si="63"/>
        <v>Active</v>
      </c>
      <c r="AK1386">
        <f t="shared" ca="1" si="64"/>
        <v>2011</v>
      </c>
      <c r="AL1386">
        <f t="shared" si="65"/>
        <v>0</v>
      </c>
      <c r="AM1386" t="e" cm="1">
        <f t="array" aca="1" ref="AM1386" ca="1">IF(B1386="Yes",YEAR(TODAY()),BLANK())</f>
        <v>#NAME?</v>
      </c>
      <c r="AN1386" t="str" cm="1">
        <f t="array" ref="AN1386" xml:space="preserve"> _xlfn.IFS(A1386&lt;25,"&lt;25",
A1386&lt;=35,"25-35",
A1386&lt;=45,"36-45",
TRUE,"45+"
)</f>
        <v>25-35</v>
      </c>
      <c r="AO1386" t="str" cm="1">
        <f t="array" ref="AO1386">_xlfn.IFS(S1386&lt;5000,"Low",
S1386&lt;=15000,"Medium",
TRUE,"High")</f>
        <v>Medium</v>
      </c>
    </row>
    <row r="1387" spans="1:41" hidden="1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 t="str">
        <f t="shared" si="63"/>
        <v>Active</v>
      </c>
      <c r="AK1387">
        <f t="shared" ca="1" si="64"/>
        <v>2016</v>
      </c>
      <c r="AL1387">
        <f t="shared" si="65"/>
        <v>0</v>
      </c>
      <c r="AM1387" t="e" cm="1">
        <f t="array" aca="1" ref="AM1387" ca="1">IF(B1387="Yes",YEAR(TODAY()),BLANK())</f>
        <v>#NAME?</v>
      </c>
      <c r="AN1387" t="str" cm="1">
        <f t="array" ref="AN1387" xml:space="preserve"> _xlfn.IFS(A1387&lt;25,"&lt;25",
A1387&lt;=35,"25-35",
A1387&lt;=45,"36-45",
TRUE,"45+"
)</f>
        <v>25-35</v>
      </c>
      <c r="AO1387" t="str" cm="1">
        <f t="array" ref="AO1387">_xlfn.IFS(S1387&lt;5000,"Low",
S1387&lt;=15000,"Medium",
TRUE,"High")</f>
        <v>Medium</v>
      </c>
    </row>
    <row r="1388" spans="1:41" hidden="1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 t="str">
        <f t="shared" si="63"/>
        <v>Active</v>
      </c>
      <c r="AK1388">
        <f t="shared" ca="1" si="64"/>
        <v>2017</v>
      </c>
      <c r="AL1388">
        <f t="shared" si="65"/>
        <v>0</v>
      </c>
      <c r="AM1388" t="e" cm="1">
        <f t="array" aca="1" ref="AM1388" ca="1">IF(B1388="Yes",YEAR(TODAY()),BLANK())</f>
        <v>#NAME?</v>
      </c>
      <c r="AN1388" t="str" cm="1">
        <f t="array" ref="AN1388" xml:space="preserve"> _xlfn.IFS(A1388&lt;25,"&lt;25",
A1388&lt;=35,"25-35",
A1388&lt;=45,"36-45",
TRUE,"45+"
)</f>
        <v>25-35</v>
      </c>
      <c r="AO1388" t="str" cm="1">
        <f t="array" ref="AO1388">_xlfn.IFS(S1388&lt;5000,"Low",
S1388&lt;=15000,"Medium",
TRUE,"High")</f>
        <v>Low</v>
      </c>
    </row>
    <row r="1389" spans="1:41" hidden="1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 t="str">
        <f t="shared" si="63"/>
        <v>Active</v>
      </c>
      <c r="AK1389">
        <f t="shared" ca="1" si="64"/>
        <v>2019</v>
      </c>
      <c r="AL1389">
        <f t="shared" si="65"/>
        <v>0</v>
      </c>
      <c r="AM1389" t="e" cm="1">
        <f t="array" aca="1" ref="AM1389" ca="1">IF(B1389="Yes",YEAR(TODAY()),BLANK())</f>
        <v>#NAME?</v>
      </c>
      <c r="AN1389" t="str" cm="1">
        <f t="array" ref="AN1389" xml:space="preserve"> _xlfn.IFS(A1389&lt;25,"&lt;25",
A1389&lt;=35,"25-35",
A1389&lt;=45,"36-45",
TRUE,"45+"
)</f>
        <v>25-35</v>
      </c>
      <c r="AO1389" t="str" cm="1">
        <f t="array" ref="AO1389">_xlfn.IFS(S1389&lt;5000,"Low",
S1389&lt;=15000,"Medium",
TRUE,"High")</f>
        <v>Medium</v>
      </c>
    </row>
    <row r="1390" spans="1:41" hidden="1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 t="str">
        <f t="shared" si="63"/>
        <v>Active</v>
      </c>
      <c r="AK1390">
        <f t="shared" ca="1" si="64"/>
        <v>2016</v>
      </c>
      <c r="AL1390">
        <f t="shared" si="65"/>
        <v>0</v>
      </c>
      <c r="AM1390" t="e" cm="1">
        <f t="array" aca="1" ref="AM1390" ca="1">IF(B1390="Yes",YEAR(TODAY()),BLANK())</f>
        <v>#NAME?</v>
      </c>
      <c r="AN1390" t="str" cm="1">
        <f t="array" ref="AN1390" xml:space="preserve"> _xlfn.IFS(A1390&lt;25,"&lt;25",
A1390&lt;=35,"25-35",
A1390&lt;=45,"36-45",
TRUE,"45+"
)</f>
        <v>25-35</v>
      </c>
      <c r="AO1390" t="str" cm="1">
        <f t="array" ref="AO1390">_xlfn.IFS(S1390&lt;5000,"Low",
S1390&lt;=15000,"Medium",
TRUE,"High")</f>
        <v>Medium</v>
      </c>
    </row>
    <row r="1391" spans="1:41" hidden="1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 t="str">
        <f t="shared" si="63"/>
        <v>Active</v>
      </c>
      <c r="AK1391">
        <f t="shared" ca="1" si="64"/>
        <v>2015</v>
      </c>
      <c r="AL1391">
        <f t="shared" si="65"/>
        <v>0</v>
      </c>
      <c r="AM1391" t="e" cm="1">
        <f t="array" aca="1" ref="AM1391" ca="1">IF(B1391="Yes",YEAR(TODAY()),BLANK())</f>
        <v>#NAME?</v>
      </c>
      <c r="AN1391" t="str" cm="1">
        <f t="array" ref="AN1391" xml:space="preserve"> _xlfn.IFS(A1391&lt;25,"&lt;25",
A1391&lt;=35,"25-35",
A1391&lt;=45,"36-45",
TRUE,"45+"
)</f>
        <v>25-35</v>
      </c>
      <c r="AO1391" t="str" cm="1">
        <f t="array" ref="AO1391">_xlfn.IFS(S1391&lt;5000,"Low",
S1391&lt;=15000,"Medium",
TRUE,"High")</f>
        <v>Medium</v>
      </c>
    </row>
    <row r="1392" spans="1:41" hidden="1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 t="str">
        <f t="shared" si="63"/>
        <v>Resigned</v>
      </c>
      <c r="AK1392">
        <f t="shared" ca="1" si="64"/>
        <v>2019</v>
      </c>
      <c r="AL1392">
        <f t="shared" si="65"/>
        <v>1</v>
      </c>
      <c r="AM1392" cm="1">
        <f t="array" aca="1" ref="AM1392" ca="1">IF(B1392="Yes",YEAR(TODAY()),BLANK())</f>
        <v>2025</v>
      </c>
      <c r="AN1392" t="str" cm="1">
        <f t="array" ref="AN1392" xml:space="preserve"> _xlfn.IFS(A1392&lt;25,"&lt;25",
A1392&lt;=35,"25-35",
A1392&lt;=45,"36-45",
TRUE,"45+"
)</f>
        <v>25-35</v>
      </c>
      <c r="AO1392" t="str" cm="1">
        <f t="array" ref="AO1392">_xlfn.IFS(S1392&lt;5000,"Low",
S1392&lt;=15000,"Medium",
TRUE,"High")</f>
        <v>Low</v>
      </c>
    </row>
    <row r="1393" spans="1:41" hidden="1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 t="str">
        <f t="shared" si="63"/>
        <v>Active</v>
      </c>
      <c r="AK1393">
        <f t="shared" ca="1" si="64"/>
        <v>2005</v>
      </c>
      <c r="AL1393">
        <f t="shared" si="65"/>
        <v>0</v>
      </c>
      <c r="AM1393" t="e" cm="1">
        <f t="array" aca="1" ref="AM1393" ca="1">IF(B1393="Yes",YEAR(TODAY()),BLANK())</f>
        <v>#NAME?</v>
      </c>
      <c r="AN1393" t="str" cm="1">
        <f t="array" ref="AN1393" xml:space="preserve"> _xlfn.IFS(A1393&lt;25,"&lt;25",
A1393&lt;=35,"25-35",
A1393&lt;=45,"36-45",
TRUE,"45+"
)</f>
        <v>36-45</v>
      </c>
      <c r="AO1393" t="str" cm="1">
        <f t="array" ref="AO1393">_xlfn.IFS(S1393&lt;5000,"Low",
S1393&lt;=15000,"Medium",
TRUE,"High")</f>
        <v>Low</v>
      </c>
    </row>
    <row r="1394" spans="1:41" hidden="1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 t="str">
        <f t="shared" si="63"/>
        <v>Active</v>
      </c>
      <c r="AK1394">
        <f t="shared" ca="1" si="64"/>
        <v>2015</v>
      </c>
      <c r="AL1394">
        <f t="shared" si="65"/>
        <v>0</v>
      </c>
      <c r="AM1394" t="e" cm="1">
        <f t="array" aca="1" ref="AM1394" ca="1">IF(B1394="Yes",YEAR(TODAY()),BLANK())</f>
        <v>#NAME?</v>
      </c>
      <c r="AN1394" t="str" cm="1">
        <f t="array" ref="AN1394" xml:space="preserve"> _xlfn.IFS(A1394&lt;25,"&lt;25",
A1394&lt;=35,"25-35",
A1394&lt;=45,"36-45",
TRUE,"45+"
)</f>
        <v>25-35</v>
      </c>
      <c r="AO1394" t="str" cm="1">
        <f t="array" ref="AO1394">_xlfn.IFS(S1394&lt;5000,"Low",
S1394&lt;=15000,"Medium",
TRUE,"High")</f>
        <v>Medium</v>
      </c>
    </row>
    <row r="1395" spans="1:41" hidden="1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 t="str">
        <f t="shared" si="63"/>
        <v>Active</v>
      </c>
      <c r="AK1395">
        <f t="shared" ca="1" si="64"/>
        <v>2018</v>
      </c>
      <c r="AL1395">
        <f t="shared" si="65"/>
        <v>0</v>
      </c>
      <c r="AM1395" t="e" cm="1">
        <f t="array" aca="1" ref="AM1395" ca="1">IF(B1395="Yes",YEAR(TODAY()),BLANK())</f>
        <v>#NAME?</v>
      </c>
      <c r="AN1395" t="str" cm="1">
        <f t="array" ref="AN1395" xml:space="preserve"> _xlfn.IFS(A1395&lt;25,"&lt;25",
A1395&lt;=35,"25-35",
A1395&lt;=45,"36-45",
TRUE,"45+"
)</f>
        <v>25-35</v>
      </c>
      <c r="AO1395" t="str" cm="1">
        <f t="array" ref="AO1395">_xlfn.IFS(S1395&lt;5000,"Low",
S1395&lt;=15000,"Medium",
TRUE,"High")</f>
        <v>Low</v>
      </c>
    </row>
    <row r="1396" spans="1:41" hidden="1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 t="str">
        <f t="shared" si="63"/>
        <v>Active</v>
      </c>
      <c r="AK1396">
        <f t="shared" ca="1" si="64"/>
        <v>2017</v>
      </c>
      <c r="AL1396">
        <f t="shared" si="65"/>
        <v>0</v>
      </c>
      <c r="AM1396" t="e" cm="1">
        <f t="array" aca="1" ref="AM1396" ca="1">IF(B1396="Yes",YEAR(TODAY()),BLANK())</f>
        <v>#NAME?</v>
      </c>
      <c r="AN1396" t="str" cm="1">
        <f t="array" ref="AN1396" xml:space="preserve"> _xlfn.IFS(A1396&lt;25,"&lt;25",
A1396&lt;=35,"25-35",
A1396&lt;=45,"36-45",
TRUE,"45+"
)</f>
        <v>25-35</v>
      </c>
      <c r="AO1396" t="str" cm="1">
        <f t="array" ref="AO1396">_xlfn.IFS(S1396&lt;5000,"Low",
S1396&lt;=15000,"Medium",
TRUE,"High")</f>
        <v>Medium</v>
      </c>
    </row>
    <row r="1397" spans="1:41" hidden="1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 t="str">
        <f t="shared" si="63"/>
        <v>Resigned</v>
      </c>
      <c r="AK1397">
        <f t="shared" ca="1" si="64"/>
        <v>2015</v>
      </c>
      <c r="AL1397">
        <f t="shared" si="65"/>
        <v>1</v>
      </c>
      <c r="AM1397" cm="1">
        <f t="array" aca="1" ref="AM1397" ca="1">IF(B1397="Yes",YEAR(TODAY()),BLANK())</f>
        <v>2025</v>
      </c>
      <c r="AN1397" t="str" cm="1">
        <f t="array" ref="AN1397" xml:space="preserve"> _xlfn.IFS(A1397&lt;25,"&lt;25",
A1397&lt;=35,"25-35",
A1397&lt;=45,"36-45",
TRUE,"45+"
)</f>
        <v>25-35</v>
      </c>
      <c r="AO1397" t="str" cm="1">
        <f t="array" ref="AO1397">_xlfn.IFS(S1397&lt;5000,"Low",
S1397&lt;=15000,"Medium",
TRUE,"High")</f>
        <v>Medium</v>
      </c>
    </row>
    <row r="1398" spans="1:41" hidden="1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 t="str">
        <f t="shared" si="63"/>
        <v>Resigned</v>
      </c>
      <c r="AK1398">
        <f t="shared" ca="1" si="64"/>
        <v>2010</v>
      </c>
      <c r="AL1398">
        <f t="shared" si="65"/>
        <v>1</v>
      </c>
      <c r="AM1398" cm="1">
        <f t="array" aca="1" ref="AM1398" ca="1">IF(B1398="Yes",YEAR(TODAY()),BLANK())</f>
        <v>2025</v>
      </c>
      <c r="AN1398" t="str" cm="1">
        <f t="array" ref="AN1398" xml:space="preserve"> _xlfn.IFS(A1398&lt;25,"&lt;25",
A1398&lt;=35,"25-35",
A1398&lt;=45,"36-45",
TRUE,"45+"
)</f>
        <v>45+</v>
      </c>
      <c r="AO1398" t="str" cm="1">
        <f t="array" ref="AO1398">_xlfn.IFS(S1398&lt;5000,"Low",
S1398&lt;=15000,"Medium",
TRUE,"High")</f>
        <v>Medium</v>
      </c>
    </row>
    <row r="1399" spans="1:41" hidden="1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 t="str">
        <f t="shared" si="63"/>
        <v>Active</v>
      </c>
      <c r="AK1399">
        <f t="shared" ca="1" si="64"/>
        <v>2016</v>
      </c>
      <c r="AL1399">
        <f t="shared" si="65"/>
        <v>0</v>
      </c>
      <c r="AM1399" t="e" cm="1">
        <f t="array" aca="1" ref="AM1399" ca="1">IF(B1399="Yes",YEAR(TODAY()),BLANK())</f>
        <v>#NAME?</v>
      </c>
      <c r="AN1399" t="str" cm="1">
        <f t="array" ref="AN1399" xml:space="preserve"> _xlfn.IFS(A1399&lt;25,"&lt;25",
A1399&lt;=35,"25-35",
A1399&lt;=45,"36-45",
TRUE,"45+"
)</f>
        <v>45+</v>
      </c>
      <c r="AO1399" t="str" cm="1">
        <f t="array" ref="AO1399">_xlfn.IFS(S1399&lt;5000,"Low",
S1399&lt;=15000,"Medium",
TRUE,"High")</f>
        <v>Low</v>
      </c>
    </row>
    <row r="1400" spans="1:41" hidden="1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 t="str">
        <f t="shared" si="63"/>
        <v>Active</v>
      </c>
      <c r="AK1400">
        <f t="shared" ca="1" si="64"/>
        <v>2016</v>
      </c>
      <c r="AL1400">
        <f t="shared" si="65"/>
        <v>0</v>
      </c>
      <c r="AM1400" t="e" cm="1">
        <f t="array" aca="1" ref="AM1400" ca="1">IF(B1400="Yes",YEAR(TODAY()),BLANK())</f>
        <v>#NAME?</v>
      </c>
      <c r="AN1400" t="str" cm="1">
        <f t="array" ref="AN1400" xml:space="preserve"> _xlfn.IFS(A1400&lt;25,"&lt;25",
A1400&lt;=35,"25-35",
A1400&lt;=45,"36-45",
TRUE,"45+"
)</f>
        <v>25-35</v>
      </c>
      <c r="AO1400" t="str" cm="1">
        <f t="array" ref="AO1400">_xlfn.IFS(S1400&lt;5000,"Low",
S1400&lt;=15000,"Medium",
TRUE,"High")</f>
        <v>Medium</v>
      </c>
    </row>
    <row r="1401" spans="1:41" hidden="1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 t="str">
        <f t="shared" si="63"/>
        <v>Active</v>
      </c>
      <c r="AK1401">
        <f t="shared" ca="1" si="64"/>
        <v>2015</v>
      </c>
      <c r="AL1401">
        <f t="shared" si="65"/>
        <v>0</v>
      </c>
      <c r="AM1401" t="e" cm="1">
        <f t="array" aca="1" ref="AM1401" ca="1">IF(B1401="Yes",YEAR(TODAY()),BLANK())</f>
        <v>#NAME?</v>
      </c>
      <c r="AN1401" t="str" cm="1">
        <f t="array" ref="AN1401" xml:space="preserve"> _xlfn.IFS(A1401&lt;25,"&lt;25",
A1401&lt;=35,"25-35",
A1401&lt;=45,"36-45",
TRUE,"45+"
)</f>
        <v>36-45</v>
      </c>
      <c r="AO1401" t="str" cm="1">
        <f t="array" ref="AO1401">_xlfn.IFS(S1401&lt;5000,"Low",
S1401&lt;=15000,"Medium",
TRUE,"High")</f>
        <v>Medium</v>
      </c>
    </row>
    <row r="1402" spans="1:41" hidden="1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 t="str">
        <f t="shared" si="63"/>
        <v>Active</v>
      </c>
      <c r="AK1402">
        <f t="shared" ca="1" si="64"/>
        <v>2018</v>
      </c>
      <c r="AL1402">
        <f t="shared" si="65"/>
        <v>0</v>
      </c>
      <c r="AM1402" t="e" cm="1">
        <f t="array" aca="1" ref="AM1402" ca="1">IF(B1402="Yes",YEAR(TODAY()),BLANK())</f>
        <v>#NAME?</v>
      </c>
      <c r="AN1402" t="str" cm="1">
        <f t="array" ref="AN1402" xml:space="preserve"> _xlfn.IFS(A1402&lt;25,"&lt;25",
A1402&lt;=35,"25-35",
A1402&lt;=45,"36-45",
TRUE,"45+"
)</f>
        <v>36-45</v>
      </c>
      <c r="AO1402" t="str" cm="1">
        <f t="array" ref="AO1402">_xlfn.IFS(S1402&lt;5000,"Low",
S1402&lt;=15000,"Medium",
TRUE,"High")</f>
        <v>Low</v>
      </c>
    </row>
    <row r="1403" spans="1:41" hidden="1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 t="str">
        <f t="shared" si="63"/>
        <v>Active</v>
      </c>
      <c r="AK1403">
        <f t="shared" ca="1" si="64"/>
        <v>1990</v>
      </c>
      <c r="AL1403">
        <f t="shared" si="65"/>
        <v>0</v>
      </c>
      <c r="AM1403" t="e" cm="1">
        <f t="array" aca="1" ref="AM1403" ca="1">IF(B1403="Yes",YEAR(TODAY()),BLANK())</f>
        <v>#NAME?</v>
      </c>
      <c r="AN1403" t="str" cm="1">
        <f t="array" ref="AN1403" xml:space="preserve"> _xlfn.IFS(A1403&lt;25,"&lt;25",
A1403&lt;=35,"25-35",
A1403&lt;=45,"36-45",
TRUE,"45+"
)</f>
        <v>45+</v>
      </c>
      <c r="AO1403" t="str" cm="1">
        <f t="array" ref="AO1403">_xlfn.IFS(S1403&lt;5000,"Low",
S1403&lt;=15000,"Medium",
TRUE,"High")</f>
        <v>High</v>
      </c>
    </row>
    <row r="1404" spans="1:41" hidden="1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 t="str">
        <f t="shared" si="63"/>
        <v>Active</v>
      </c>
      <c r="AK1404">
        <f t="shared" ca="1" si="64"/>
        <v>2024</v>
      </c>
      <c r="AL1404">
        <f t="shared" si="65"/>
        <v>0</v>
      </c>
      <c r="AM1404" t="e" cm="1">
        <f t="array" aca="1" ref="AM1404" ca="1">IF(B1404="Yes",YEAR(TODAY()),BLANK())</f>
        <v>#NAME?</v>
      </c>
      <c r="AN1404" t="str" cm="1">
        <f t="array" ref="AN1404" xml:space="preserve"> _xlfn.IFS(A1404&lt;25,"&lt;25",
A1404&lt;=35,"25-35",
A1404&lt;=45,"36-45",
TRUE,"45+"
)</f>
        <v>25-35</v>
      </c>
      <c r="AO1404" t="str" cm="1">
        <f t="array" ref="AO1404">_xlfn.IFS(S1404&lt;5000,"Low",
S1404&lt;=15000,"Medium",
TRUE,"High")</f>
        <v>Low</v>
      </c>
    </row>
    <row r="1405" spans="1:41" hidden="1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 t="str">
        <f t="shared" si="63"/>
        <v>Active</v>
      </c>
      <c r="AK1405">
        <f t="shared" ca="1" si="64"/>
        <v>2004</v>
      </c>
      <c r="AL1405">
        <f t="shared" si="65"/>
        <v>0</v>
      </c>
      <c r="AM1405" t="e" cm="1">
        <f t="array" aca="1" ref="AM1405" ca="1">IF(B1405="Yes",YEAR(TODAY()),BLANK())</f>
        <v>#NAME?</v>
      </c>
      <c r="AN1405" t="str" cm="1">
        <f t="array" ref="AN1405" xml:space="preserve"> _xlfn.IFS(A1405&lt;25,"&lt;25",
A1405&lt;=35,"25-35",
A1405&lt;=45,"36-45",
TRUE,"45+"
)</f>
        <v>36-45</v>
      </c>
      <c r="AO1405" t="str" cm="1">
        <f t="array" ref="AO1405">_xlfn.IFS(S1405&lt;5000,"Low",
S1405&lt;=15000,"Medium",
TRUE,"High")</f>
        <v>Medium</v>
      </c>
    </row>
    <row r="1406" spans="1:41" hidden="1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 t="str">
        <f t="shared" si="63"/>
        <v>Active</v>
      </c>
      <c r="AK1406">
        <f t="shared" ca="1" si="64"/>
        <v>2005</v>
      </c>
      <c r="AL1406">
        <f t="shared" si="65"/>
        <v>0</v>
      </c>
      <c r="AM1406" t="e" cm="1">
        <f t="array" aca="1" ref="AM1406" ca="1">IF(B1406="Yes",YEAR(TODAY()),BLANK())</f>
        <v>#NAME?</v>
      </c>
      <c r="AN1406" t="str" cm="1">
        <f t="array" ref="AN1406" xml:space="preserve"> _xlfn.IFS(A1406&lt;25,"&lt;25",
A1406&lt;=35,"25-35",
A1406&lt;=45,"36-45",
TRUE,"45+"
)</f>
        <v>36-45</v>
      </c>
      <c r="AO1406" t="str" cm="1">
        <f t="array" ref="AO1406">_xlfn.IFS(S1406&lt;5000,"Low",
S1406&lt;=15000,"Medium",
TRUE,"High")</f>
        <v>Low</v>
      </c>
    </row>
    <row r="1407" spans="1:41" hidden="1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 t="str">
        <f t="shared" si="63"/>
        <v>Active</v>
      </c>
      <c r="AK1407">
        <f t="shared" ca="1" si="64"/>
        <v>2012</v>
      </c>
      <c r="AL1407">
        <f t="shared" si="65"/>
        <v>0</v>
      </c>
      <c r="AM1407" t="e" cm="1">
        <f t="array" aca="1" ref="AM1407" ca="1">IF(B1407="Yes",YEAR(TODAY()),BLANK())</f>
        <v>#NAME?</v>
      </c>
      <c r="AN1407" t="str" cm="1">
        <f t="array" ref="AN1407" xml:space="preserve"> _xlfn.IFS(A1407&lt;25,"&lt;25",
A1407&lt;=35,"25-35",
A1407&lt;=45,"36-45",
TRUE,"45+"
)</f>
        <v>25-35</v>
      </c>
      <c r="AO1407" t="str" cm="1">
        <f t="array" ref="AO1407">_xlfn.IFS(S1407&lt;5000,"Low",
S1407&lt;=15000,"Medium",
TRUE,"High")</f>
        <v>Medium</v>
      </c>
    </row>
    <row r="1408" spans="1:41" hidden="1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 t="str">
        <f t="shared" si="63"/>
        <v>Active</v>
      </c>
      <c r="AK1408">
        <f t="shared" ca="1" si="64"/>
        <v>2016</v>
      </c>
      <c r="AL1408">
        <f t="shared" si="65"/>
        <v>0</v>
      </c>
      <c r="AM1408" t="e" cm="1">
        <f t="array" aca="1" ref="AM1408" ca="1">IF(B1408="Yes",YEAR(TODAY()),BLANK())</f>
        <v>#NAME?</v>
      </c>
      <c r="AN1408" t="str" cm="1">
        <f t="array" ref="AN1408" xml:space="preserve"> _xlfn.IFS(A1408&lt;25,"&lt;25",
A1408&lt;=35,"25-35",
A1408&lt;=45,"36-45",
TRUE,"45+"
)</f>
        <v>45+</v>
      </c>
      <c r="AO1408" t="str" cm="1">
        <f t="array" ref="AO1408">_xlfn.IFS(S1408&lt;5000,"Low",
S1408&lt;=15000,"Medium",
TRUE,"High")</f>
        <v>Low</v>
      </c>
    </row>
    <row r="1409" spans="1:41" hidden="1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 t="str">
        <f t="shared" si="63"/>
        <v>Active</v>
      </c>
      <c r="AK1409">
        <f t="shared" ca="1" si="64"/>
        <v>2021</v>
      </c>
      <c r="AL1409">
        <f t="shared" si="65"/>
        <v>0</v>
      </c>
      <c r="AM1409" t="e" cm="1">
        <f t="array" aca="1" ref="AM1409" ca="1">IF(B1409="Yes",YEAR(TODAY()),BLANK())</f>
        <v>#NAME?</v>
      </c>
      <c r="AN1409" t="str" cm="1">
        <f t="array" ref="AN1409" xml:space="preserve"> _xlfn.IFS(A1409&lt;25,"&lt;25",
A1409&lt;=35,"25-35",
A1409&lt;=45,"36-45",
TRUE,"45+"
)</f>
        <v>&lt;25</v>
      </c>
      <c r="AO1409" t="str" cm="1">
        <f t="array" ref="AO1409">_xlfn.IFS(S1409&lt;5000,"Low",
S1409&lt;=15000,"Medium",
TRUE,"High")</f>
        <v>Low</v>
      </c>
    </row>
    <row r="1410" spans="1:41" hidden="1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 t="str">
        <f t="shared" si="63"/>
        <v>Active</v>
      </c>
      <c r="AK1410">
        <f t="shared" ca="1" si="64"/>
        <v>2020</v>
      </c>
      <c r="AL1410">
        <f t="shared" si="65"/>
        <v>0</v>
      </c>
      <c r="AM1410" t="e" cm="1">
        <f t="array" aca="1" ref="AM1410" ca="1">IF(B1410="Yes",YEAR(TODAY()),BLANK())</f>
        <v>#NAME?</v>
      </c>
      <c r="AN1410" t="str" cm="1">
        <f t="array" ref="AN1410" xml:space="preserve"> _xlfn.IFS(A1410&lt;25,"&lt;25",
A1410&lt;=35,"25-35",
A1410&lt;=45,"36-45",
TRUE,"45+"
)</f>
        <v>&lt;25</v>
      </c>
      <c r="AO1410" t="str" cm="1">
        <f t="array" ref="AO1410">_xlfn.IFS(S1410&lt;5000,"Low",
S1410&lt;=15000,"Medium",
TRUE,"High")</f>
        <v>Low</v>
      </c>
    </row>
    <row r="1411" spans="1:41" hidden="1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 t="str">
        <f t="shared" ref="AJ1411:AJ1471" si="66">IF(B1411="Yes", "Resigned","Active")</f>
        <v>Active</v>
      </c>
      <c r="AK1411">
        <f t="shared" ref="AK1411:AK1471" ca="1" si="67">YEAR(TODAY()) - AC1411</f>
        <v>2015</v>
      </c>
      <c r="AL1411">
        <f t="shared" ref="AL1411:AL1471" si="68">IF(B1411="Yes",1,0)</f>
        <v>0</v>
      </c>
      <c r="AM1411" t="e" cm="1">
        <f t="array" aca="1" ref="AM1411" ca="1">IF(B1411="Yes",YEAR(TODAY()),BLANK())</f>
        <v>#NAME?</v>
      </c>
      <c r="AN1411" t="str" cm="1">
        <f t="array" ref="AN1411" xml:space="preserve"> _xlfn.IFS(A1411&lt;25,"&lt;25",
A1411&lt;=35,"25-35",
A1411&lt;=45,"36-45",
TRUE,"45+"
)</f>
        <v>36-45</v>
      </c>
      <c r="AO1411" t="str" cm="1">
        <f t="array" ref="AO1411">_xlfn.IFS(S1411&lt;5000,"Low",
S1411&lt;=15000,"Medium",
TRUE,"High")</f>
        <v>Medium</v>
      </c>
    </row>
    <row r="1412" spans="1:41" hidden="1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 t="str">
        <f t="shared" si="66"/>
        <v>Active</v>
      </c>
      <c r="AK1412">
        <f t="shared" ca="1" si="67"/>
        <v>2010</v>
      </c>
      <c r="AL1412">
        <f t="shared" si="68"/>
        <v>0</v>
      </c>
      <c r="AM1412" t="e" cm="1">
        <f t="array" aca="1" ref="AM1412" ca="1">IF(B1412="Yes",YEAR(TODAY()),BLANK())</f>
        <v>#NAME?</v>
      </c>
      <c r="AN1412" t="str" cm="1">
        <f t="array" ref="AN1412" xml:space="preserve"> _xlfn.IFS(A1412&lt;25,"&lt;25",
A1412&lt;=35,"25-35",
A1412&lt;=45,"36-45",
TRUE,"45+"
)</f>
        <v>36-45</v>
      </c>
      <c r="AO1412" t="str" cm="1">
        <f t="array" ref="AO1412">_xlfn.IFS(S1412&lt;5000,"Low",
S1412&lt;=15000,"Medium",
TRUE,"High")</f>
        <v>Medium</v>
      </c>
    </row>
    <row r="1413" spans="1:41" hidden="1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 t="str">
        <f t="shared" si="66"/>
        <v>Active</v>
      </c>
      <c r="AK1413">
        <f t="shared" ca="1" si="67"/>
        <v>2019</v>
      </c>
      <c r="AL1413">
        <f t="shared" si="68"/>
        <v>0</v>
      </c>
      <c r="AM1413" t="e" cm="1">
        <f t="array" aca="1" ref="AM1413" ca="1">IF(B1413="Yes",YEAR(TODAY()),BLANK())</f>
        <v>#NAME?</v>
      </c>
      <c r="AN1413" t="str" cm="1">
        <f t="array" ref="AN1413" xml:space="preserve"> _xlfn.IFS(A1413&lt;25,"&lt;25",
A1413&lt;=35,"25-35",
A1413&lt;=45,"36-45",
TRUE,"45+"
)</f>
        <v>25-35</v>
      </c>
      <c r="AO1413" t="str" cm="1">
        <f t="array" ref="AO1413">_xlfn.IFS(S1413&lt;5000,"Low",
S1413&lt;=15000,"Medium",
TRUE,"High")</f>
        <v>Low</v>
      </c>
    </row>
    <row r="1414" spans="1:41" hidden="1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 t="str">
        <f t="shared" si="66"/>
        <v>Active</v>
      </c>
      <c r="AK1414">
        <f t="shared" ca="1" si="67"/>
        <v>2013</v>
      </c>
      <c r="AL1414">
        <f t="shared" si="68"/>
        <v>0</v>
      </c>
      <c r="AM1414" t="e" cm="1">
        <f t="array" aca="1" ref="AM1414" ca="1">IF(B1414="Yes",YEAR(TODAY()),BLANK())</f>
        <v>#NAME?</v>
      </c>
      <c r="AN1414" t="str" cm="1">
        <f t="array" ref="AN1414" xml:space="preserve"> _xlfn.IFS(A1414&lt;25,"&lt;25",
A1414&lt;=35,"25-35",
A1414&lt;=45,"36-45",
TRUE,"45+"
)</f>
        <v>25-35</v>
      </c>
      <c r="AO1414" t="str" cm="1">
        <f t="array" ref="AO1414">_xlfn.IFS(S1414&lt;5000,"Low",
S1414&lt;=15000,"Medium",
TRUE,"High")</f>
        <v>Low</v>
      </c>
    </row>
    <row r="1415" spans="1:41" hidden="1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 t="str">
        <f t="shared" si="66"/>
        <v>Active</v>
      </c>
      <c r="AK1415">
        <f t="shared" ca="1" si="67"/>
        <v>2018</v>
      </c>
      <c r="AL1415">
        <f t="shared" si="68"/>
        <v>0</v>
      </c>
      <c r="AM1415" t="e" cm="1">
        <f t="array" aca="1" ref="AM1415" ca="1">IF(B1415="Yes",YEAR(TODAY()),BLANK())</f>
        <v>#NAME?</v>
      </c>
      <c r="AN1415" t="str" cm="1">
        <f t="array" ref="AN1415" xml:space="preserve"> _xlfn.IFS(A1415&lt;25,"&lt;25",
A1415&lt;=35,"25-35",
A1415&lt;=45,"36-45",
TRUE,"45+"
)</f>
        <v>25-35</v>
      </c>
      <c r="AO1415" t="str" cm="1">
        <f t="array" ref="AO1415">_xlfn.IFS(S1415&lt;5000,"Low",
S1415&lt;=15000,"Medium",
TRUE,"High")</f>
        <v>Low</v>
      </c>
    </row>
    <row r="1416" spans="1:41" hidden="1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 t="str">
        <f t="shared" si="66"/>
        <v>Active</v>
      </c>
      <c r="AK1416">
        <f t="shared" ca="1" si="67"/>
        <v>2000</v>
      </c>
      <c r="AL1416">
        <f t="shared" si="68"/>
        <v>0</v>
      </c>
      <c r="AM1416" t="e" cm="1">
        <f t="array" aca="1" ref="AM1416" ca="1">IF(B1416="Yes",YEAR(TODAY()),BLANK())</f>
        <v>#NAME?</v>
      </c>
      <c r="AN1416" t="str" cm="1">
        <f t="array" ref="AN1416" xml:space="preserve"> _xlfn.IFS(A1416&lt;25,"&lt;25",
A1416&lt;=35,"25-35",
A1416&lt;=45,"36-45",
TRUE,"45+"
)</f>
        <v>45+</v>
      </c>
      <c r="AO1416" t="str" cm="1">
        <f t="array" ref="AO1416">_xlfn.IFS(S1416&lt;5000,"Low",
S1416&lt;=15000,"Medium",
TRUE,"High")</f>
        <v>Medium</v>
      </c>
    </row>
    <row r="1417" spans="1:41" hidden="1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 t="str">
        <f t="shared" si="66"/>
        <v>Active</v>
      </c>
      <c r="AK1417">
        <f t="shared" ca="1" si="67"/>
        <v>2024</v>
      </c>
      <c r="AL1417">
        <f t="shared" si="68"/>
        <v>0</v>
      </c>
      <c r="AM1417" t="e" cm="1">
        <f t="array" aca="1" ref="AM1417" ca="1">IF(B1417="Yes",YEAR(TODAY()),BLANK())</f>
        <v>#NAME?</v>
      </c>
      <c r="AN1417" t="str" cm="1">
        <f t="array" ref="AN1417" xml:space="preserve"> _xlfn.IFS(A1417&lt;25,"&lt;25",
A1417&lt;=35,"25-35",
A1417&lt;=45,"36-45",
TRUE,"45+"
)</f>
        <v>25-35</v>
      </c>
      <c r="AO1417" t="str" cm="1">
        <f t="array" ref="AO1417">_xlfn.IFS(S1417&lt;5000,"Low",
S1417&lt;=15000,"Medium",
TRUE,"High")</f>
        <v>Low</v>
      </c>
    </row>
    <row r="1418" spans="1:41" hidden="1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 t="str">
        <f t="shared" si="66"/>
        <v>Active</v>
      </c>
      <c r="AK1418">
        <f t="shared" ca="1" si="67"/>
        <v>2009</v>
      </c>
      <c r="AL1418">
        <f t="shared" si="68"/>
        <v>0</v>
      </c>
      <c r="AM1418" t="e" cm="1">
        <f t="array" aca="1" ref="AM1418" ca="1">IF(B1418="Yes",YEAR(TODAY()),BLANK())</f>
        <v>#NAME?</v>
      </c>
      <c r="AN1418" t="str" cm="1">
        <f t="array" ref="AN1418" xml:space="preserve"> _xlfn.IFS(A1418&lt;25,"&lt;25",
A1418&lt;=35,"25-35",
A1418&lt;=45,"36-45",
TRUE,"45+"
)</f>
        <v>36-45</v>
      </c>
      <c r="AO1418" t="str" cm="1">
        <f t="array" ref="AO1418">_xlfn.IFS(S1418&lt;5000,"Low",
S1418&lt;=15000,"Medium",
TRUE,"High")</f>
        <v>Low</v>
      </c>
    </row>
    <row r="1419" spans="1:41" hidden="1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 t="str">
        <f t="shared" si="66"/>
        <v>Active</v>
      </c>
      <c r="AK1419">
        <f t="shared" ca="1" si="67"/>
        <v>2022</v>
      </c>
      <c r="AL1419">
        <f t="shared" si="68"/>
        <v>0</v>
      </c>
      <c r="AM1419" t="e" cm="1">
        <f t="array" aca="1" ref="AM1419" ca="1">IF(B1419="Yes",YEAR(TODAY()),BLANK())</f>
        <v>#NAME?</v>
      </c>
      <c r="AN1419" t="str" cm="1">
        <f t="array" ref="AN1419" xml:space="preserve"> _xlfn.IFS(A1419&lt;25,"&lt;25",
A1419&lt;=35,"25-35",
A1419&lt;=45,"36-45",
TRUE,"45+"
)</f>
        <v>25-35</v>
      </c>
      <c r="AO1419" t="str" cm="1">
        <f t="array" ref="AO1419">_xlfn.IFS(S1419&lt;5000,"Low",
S1419&lt;=15000,"Medium",
TRUE,"High")</f>
        <v>Low</v>
      </c>
    </row>
    <row r="1420" spans="1:41" hidden="1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 t="str">
        <f t="shared" si="66"/>
        <v>Active</v>
      </c>
      <c r="AK1420">
        <f t="shared" ca="1" si="67"/>
        <v>2015</v>
      </c>
      <c r="AL1420">
        <f t="shared" si="68"/>
        <v>0</v>
      </c>
      <c r="AM1420" t="e" cm="1">
        <f t="array" aca="1" ref="AM1420" ca="1">IF(B1420="Yes",YEAR(TODAY()),BLANK())</f>
        <v>#NAME?</v>
      </c>
      <c r="AN1420" t="str" cm="1">
        <f t="array" ref="AN1420" xml:space="preserve"> _xlfn.IFS(A1420&lt;25,"&lt;25",
A1420&lt;=35,"25-35",
A1420&lt;=45,"36-45",
TRUE,"45+"
)</f>
        <v>36-45</v>
      </c>
      <c r="AO1420" t="str" cm="1">
        <f t="array" ref="AO1420">_xlfn.IFS(S1420&lt;5000,"Low",
S1420&lt;=15000,"Medium",
TRUE,"High")</f>
        <v>Medium</v>
      </c>
    </row>
    <row r="1421" spans="1:41" hidden="1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 t="str">
        <f t="shared" si="66"/>
        <v>Active</v>
      </c>
      <c r="AK1421">
        <f t="shared" ca="1" si="67"/>
        <v>2016</v>
      </c>
      <c r="AL1421">
        <f t="shared" si="68"/>
        <v>0</v>
      </c>
      <c r="AM1421" t="e" cm="1">
        <f t="array" aca="1" ref="AM1421" ca="1">IF(B1421="Yes",YEAR(TODAY()),BLANK())</f>
        <v>#NAME?</v>
      </c>
      <c r="AN1421" t="str" cm="1">
        <f t="array" ref="AN1421" xml:space="preserve"> _xlfn.IFS(A1421&lt;25,"&lt;25",
A1421&lt;=35,"25-35",
A1421&lt;=45,"36-45",
TRUE,"45+"
)</f>
        <v>36-45</v>
      </c>
      <c r="AO1421" t="str" cm="1">
        <f t="array" ref="AO1421">_xlfn.IFS(S1421&lt;5000,"Low",
S1421&lt;=15000,"Medium",
TRUE,"High")</f>
        <v>Medium</v>
      </c>
    </row>
    <row r="1422" spans="1:41" hidden="1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 t="str">
        <f t="shared" si="66"/>
        <v>Active</v>
      </c>
      <c r="AK1422">
        <f t="shared" ca="1" si="67"/>
        <v>2013</v>
      </c>
      <c r="AL1422">
        <f t="shared" si="68"/>
        <v>0</v>
      </c>
      <c r="AM1422" t="e" cm="1">
        <f t="array" aca="1" ref="AM1422" ca="1">IF(B1422="Yes",YEAR(TODAY()),BLANK())</f>
        <v>#NAME?</v>
      </c>
      <c r="AN1422" t="str" cm="1">
        <f t="array" ref="AN1422" xml:space="preserve"> _xlfn.IFS(A1422&lt;25,"&lt;25",
A1422&lt;=35,"25-35",
A1422&lt;=45,"36-45",
TRUE,"45+"
)</f>
        <v>36-45</v>
      </c>
      <c r="AO1422" t="str" cm="1">
        <f t="array" ref="AO1422">_xlfn.IFS(S1422&lt;5000,"Low",
S1422&lt;=15000,"Medium",
TRUE,"High")</f>
        <v>Low</v>
      </c>
    </row>
    <row r="1423" spans="1:41" hidden="1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 t="str">
        <f t="shared" si="66"/>
        <v>Active</v>
      </c>
      <c r="AK1423">
        <f t="shared" ca="1" si="67"/>
        <v>2011</v>
      </c>
      <c r="AL1423">
        <f t="shared" si="68"/>
        <v>0</v>
      </c>
      <c r="AM1423" t="e" cm="1">
        <f t="array" aca="1" ref="AM1423" ca="1">IF(B1423="Yes",YEAR(TODAY()),BLANK())</f>
        <v>#NAME?</v>
      </c>
      <c r="AN1423" t="str" cm="1">
        <f t="array" ref="AN1423" xml:space="preserve"> _xlfn.IFS(A1423&lt;25,"&lt;25",
A1423&lt;=35,"25-35",
A1423&lt;=45,"36-45",
TRUE,"45+"
)</f>
        <v>45+</v>
      </c>
      <c r="AO1423" t="str" cm="1">
        <f t="array" ref="AO1423">_xlfn.IFS(S1423&lt;5000,"Low",
S1423&lt;=15000,"Medium",
TRUE,"High")</f>
        <v>Medium</v>
      </c>
    </row>
    <row r="1424" spans="1:41" hidden="1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 t="str">
        <f t="shared" si="66"/>
        <v>Active</v>
      </c>
      <c r="AK1424">
        <f t="shared" ca="1" si="67"/>
        <v>2020</v>
      </c>
      <c r="AL1424">
        <f t="shared" si="68"/>
        <v>0</v>
      </c>
      <c r="AM1424" t="e" cm="1">
        <f t="array" aca="1" ref="AM1424" ca="1">IF(B1424="Yes",YEAR(TODAY()),BLANK())</f>
        <v>#NAME?</v>
      </c>
      <c r="AN1424" t="str" cm="1">
        <f t="array" ref="AN1424" xml:space="preserve"> _xlfn.IFS(A1424&lt;25,"&lt;25",
A1424&lt;=35,"25-35",
A1424&lt;=45,"36-45",
TRUE,"45+"
)</f>
        <v>25-35</v>
      </c>
      <c r="AO1424" t="str" cm="1">
        <f t="array" ref="AO1424">_xlfn.IFS(S1424&lt;5000,"Low",
S1424&lt;=15000,"Medium",
TRUE,"High")</f>
        <v>Low</v>
      </c>
    </row>
    <row r="1425" spans="1:41" hidden="1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 t="str">
        <f t="shared" si="66"/>
        <v>Active</v>
      </c>
      <c r="AK1425">
        <f t="shared" ca="1" si="67"/>
        <v>2021</v>
      </c>
      <c r="AL1425">
        <f t="shared" si="68"/>
        <v>0</v>
      </c>
      <c r="AM1425" t="e" cm="1">
        <f t="array" aca="1" ref="AM1425" ca="1">IF(B1425="Yes",YEAR(TODAY()),BLANK())</f>
        <v>#NAME?</v>
      </c>
      <c r="AN1425" t="str" cm="1">
        <f t="array" ref="AN1425" xml:space="preserve"> _xlfn.IFS(A1425&lt;25,"&lt;25",
A1425&lt;=35,"25-35",
A1425&lt;=45,"36-45",
TRUE,"45+"
)</f>
        <v>&lt;25</v>
      </c>
      <c r="AO1425" t="str" cm="1">
        <f t="array" ref="AO1425">_xlfn.IFS(S1425&lt;5000,"Low",
S1425&lt;=15000,"Medium",
TRUE,"High")</f>
        <v>Low</v>
      </c>
    </row>
    <row r="1426" spans="1:41" hidden="1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 t="str">
        <f t="shared" si="66"/>
        <v>Active</v>
      </c>
      <c r="AK1426">
        <f t="shared" ca="1" si="67"/>
        <v>2015</v>
      </c>
      <c r="AL1426">
        <f t="shared" si="68"/>
        <v>0</v>
      </c>
      <c r="AM1426" t="e" cm="1">
        <f t="array" aca="1" ref="AM1426" ca="1">IF(B1426="Yes",YEAR(TODAY()),BLANK())</f>
        <v>#NAME?</v>
      </c>
      <c r="AN1426" t="str" cm="1">
        <f t="array" ref="AN1426" xml:space="preserve"> _xlfn.IFS(A1426&lt;25,"&lt;25",
A1426&lt;=35,"25-35",
A1426&lt;=45,"36-45",
TRUE,"45+"
)</f>
        <v>25-35</v>
      </c>
      <c r="AO1426" t="str" cm="1">
        <f t="array" ref="AO1426">_xlfn.IFS(S1426&lt;5000,"Low",
S1426&lt;=15000,"Medium",
TRUE,"High")</f>
        <v>Medium</v>
      </c>
    </row>
    <row r="1427" spans="1:41" hidden="1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 t="str">
        <f t="shared" si="66"/>
        <v>Active</v>
      </c>
      <c r="AK1427">
        <f t="shared" ca="1" si="67"/>
        <v>2015</v>
      </c>
      <c r="AL1427">
        <f t="shared" si="68"/>
        <v>0</v>
      </c>
      <c r="AM1427" t="e" cm="1">
        <f t="array" aca="1" ref="AM1427" ca="1">IF(B1427="Yes",YEAR(TODAY()),BLANK())</f>
        <v>#NAME?</v>
      </c>
      <c r="AN1427" t="str" cm="1">
        <f t="array" ref="AN1427" xml:space="preserve"> _xlfn.IFS(A1427&lt;25,"&lt;25",
A1427&lt;=35,"25-35",
A1427&lt;=45,"36-45",
TRUE,"45+"
)</f>
        <v>25-35</v>
      </c>
      <c r="AO1427" t="str" cm="1">
        <f t="array" ref="AO1427">_xlfn.IFS(S1427&lt;5000,"Low",
S1427&lt;=15000,"Medium",
TRUE,"High")</f>
        <v>Low</v>
      </c>
    </row>
    <row r="1428" spans="1:41" hidden="1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 t="str">
        <f t="shared" si="66"/>
        <v>Active</v>
      </c>
      <c r="AK1428">
        <f t="shared" ca="1" si="67"/>
        <v>2019</v>
      </c>
      <c r="AL1428">
        <f t="shared" si="68"/>
        <v>0</v>
      </c>
      <c r="AM1428" t="e" cm="1">
        <f t="array" aca="1" ref="AM1428" ca="1">IF(B1428="Yes",YEAR(TODAY()),BLANK())</f>
        <v>#NAME?</v>
      </c>
      <c r="AN1428" t="str" cm="1">
        <f t="array" ref="AN1428" xml:space="preserve"> _xlfn.IFS(A1428&lt;25,"&lt;25",
A1428&lt;=35,"25-35",
A1428&lt;=45,"36-45",
TRUE,"45+"
)</f>
        <v>25-35</v>
      </c>
      <c r="AO1428" t="str" cm="1">
        <f t="array" ref="AO1428">_xlfn.IFS(S1428&lt;5000,"Low",
S1428&lt;=15000,"Medium",
TRUE,"High")</f>
        <v>Low</v>
      </c>
    </row>
    <row r="1429" spans="1:41" hidden="1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 t="str">
        <f t="shared" si="66"/>
        <v>Active</v>
      </c>
      <c r="AK1429">
        <f t="shared" ca="1" si="67"/>
        <v>2017</v>
      </c>
      <c r="AL1429">
        <f t="shared" si="68"/>
        <v>0</v>
      </c>
      <c r="AM1429" t="e" cm="1">
        <f t="array" aca="1" ref="AM1429" ca="1">IF(B1429="Yes",YEAR(TODAY()),BLANK())</f>
        <v>#NAME?</v>
      </c>
      <c r="AN1429" t="str" cm="1">
        <f t="array" ref="AN1429" xml:space="preserve"> _xlfn.IFS(A1429&lt;25,"&lt;25",
A1429&lt;=35,"25-35",
A1429&lt;=45,"36-45",
TRUE,"45+"
)</f>
        <v>36-45</v>
      </c>
      <c r="AO1429" t="str" cm="1">
        <f t="array" ref="AO1429">_xlfn.IFS(S1429&lt;5000,"Low",
S1429&lt;=15000,"Medium",
TRUE,"High")</f>
        <v>Low</v>
      </c>
    </row>
    <row r="1430" spans="1:41" hidden="1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 t="str">
        <f t="shared" si="66"/>
        <v>Active</v>
      </c>
      <c r="AK1430">
        <f t="shared" ca="1" si="67"/>
        <v>2022</v>
      </c>
      <c r="AL1430">
        <f t="shared" si="68"/>
        <v>0</v>
      </c>
      <c r="AM1430" t="e" cm="1">
        <f t="array" aca="1" ref="AM1430" ca="1">IF(B1430="Yes",YEAR(TODAY()),BLANK())</f>
        <v>#NAME?</v>
      </c>
      <c r="AN1430" t="str" cm="1">
        <f t="array" ref="AN1430" xml:space="preserve"> _xlfn.IFS(A1430&lt;25,"&lt;25",
A1430&lt;=35,"25-35",
A1430&lt;=45,"36-45",
TRUE,"45+"
)</f>
        <v>25-35</v>
      </c>
      <c r="AO1430" t="str" cm="1">
        <f t="array" ref="AO1430">_xlfn.IFS(S1430&lt;5000,"Low",
S1430&lt;=15000,"Medium",
TRUE,"High")</f>
        <v>Low</v>
      </c>
    </row>
    <row r="1431" spans="1:41" hidden="1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 t="str">
        <f t="shared" si="66"/>
        <v>Active</v>
      </c>
      <c r="AK1431">
        <f t="shared" ca="1" si="67"/>
        <v>2007</v>
      </c>
      <c r="AL1431">
        <f t="shared" si="68"/>
        <v>0</v>
      </c>
      <c r="AM1431" t="e" cm="1">
        <f t="array" aca="1" ref="AM1431" ca="1">IF(B1431="Yes",YEAR(TODAY()),BLANK())</f>
        <v>#NAME?</v>
      </c>
      <c r="AN1431" t="str" cm="1">
        <f t="array" ref="AN1431" xml:space="preserve"> _xlfn.IFS(A1431&lt;25,"&lt;25",
A1431&lt;=35,"25-35",
A1431&lt;=45,"36-45",
TRUE,"45+"
)</f>
        <v>36-45</v>
      </c>
      <c r="AO1431" t="str" cm="1">
        <f t="array" ref="AO1431">_xlfn.IFS(S1431&lt;5000,"Low",
S1431&lt;=15000,"Medium",
TRUE,"High")</f>
        <v>Low</v>
      </c>
    </row>
    <row r="1432" spans="1:41" hidden="1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 t="str">
        <f t="shared" si="66"/>
        <v>Active</v>
      </c>
      <c r="AK1432">
        <f t="shared" ca="1" si="67"/>
        <v>2005</v>
      </c>
      <c r="AL1432">
        <f t="shared" si="68"/>
        <v>0</v>
      </c>
      <c r="AM1432" t="e" cm="1">
        <f t="array" aca="1" ref="AM1432" ca="1">IF(B1432="Yes",YEAR(TODAY()),BLANK())</f>
        <v>#NAME?</v>
      </c>
      <c r="AN1432" t="str" cm="1">
        <f t="array" ref="AN1432" xml:space="preserve"> _xlfn.IFS(A1432&lt;25,"&lt;25",
A1432&lt;=35,"25-35",
A1432&lt;=45,"36-45",
TRUE,"45+"
)</f>
        <v>36-45</v>
      </c>
      <c r="AO1432" t="str" cm="1">
        <f t="array" ref="AO1432">_xlfn.IFS(S1432&lt;5000,"Low",
S1432&lt;=15000,"Medium",
TRUE,"High")</f>
        <v>Medium</v>
      </c>
    </row>
    <row r="1433" spans="1:41" hidden="1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 t="str">
        <f t="shared" si="66"/>
        <v>Active</v>
      </c>
      <c r="AK1433">
        <f t="shared" ca="1" si="67"/>
        <v>2011</v>
      </c>
      <c r="AL1433">
        <f t="shared" si="68"/>
        <v>0</v>
      </c>
      <c r="AM1433" t="e" cm="1">
        <f t="array" aca="1" ref="AM1433" ca="1">IF(B1433="Yes",YEAR(TODAY()),BLANK())</f>
        <v>#NAME?</v>
      </c>
      <c r="AN1433" t="str" cm="1">
        <f t="array" ref="AN1433" xml:space="preserve"> _xlfn.IFS(A1433&lt;25,"&lt;25",
A1433&lt;=35,"25-35",
A1433&lt;=45,"36-45",
TRUE,"45+"
)</f>
        <v>25-35</v>
      </c>
      <c r="AO1433" t="str" cm="1">
        <f t="array" ref="AO1433">_xlfn.IFS(S1433&lt;5000,"Low",
S1433&lt;=15000,"Medium",
TRUE,"High")</f>
        <v>Medium</v>
      </c>
    </row>
    <row r="1434" spans="1:41" hidden="1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 t="str">
        <f t="shared" si="66"/>
        <v>Active</v>
      </c>
      <c r="AK1434">
        <f t="shared" ca="1" si="67"/>
        <v>2009</v>
      </c>
      <c r="AL1434">
        <f t="shared" si="68"/>
        <v>0</v>
      </c>
      <c r="AM1434" t="e" cm="1">
        <f t="array" aca="1" ref="AM1434" ca="1">IF(B1434="Yes",YEAR(TODAY()),BLANK())</f>
        <v>#NAME?</v>
      </c>
      <c r="AN1434" t="str" cm="1">
        <f t="array" ref="AN1434" xml:space="preserve"> _xlfn.IFS(A1434&lt;25,"&lt;25",
A1434&lt;=35,"25-35",
A1434&lt;=45,"36-45",
TRUE,"45+"
)</f>
        <v>36-45</v>
      </c>
      <c r="AO1434" t="str" cm="1">
        <f t="array" ref="AO1434">_xlfn.IFS(S1434&lt;5000,"Low",
S1434&lt;=15000,"Medium",
TRUE,"High")</f>
        <v>Medium</v>
      </c>
    </row>
    <row r="1435" spans="1:41" hidden="1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 t="str">
        <f t="shared" si="66"/>
        <v>Active</v>
      </c>
      <c r="AK1435">
        <f t="shared" ca="1" si="67"/>
        <v>2019</v>
      </c>
      <c r="AL1435">
        <f t="shared" si="68"/>
        <v>0</v>
      </c>
      <c r="AM1435" t="e" cm="1">
        <f t="array" aca="1" ref="AM1435" ca="1">IF(B1435="Yes",YEAR(TODAY()),BLANK())</f>
        <v>#NAME?</v>
      </c>
      <c r="AN1435" t="str" cm="1">
        <f t="array" ref="AN1435" xml:space="preserve"> _xlfn.IFS(A1435&lt;25,"&lt;25",
A1435&lt;=35,"25-35",
A1435&lt;=45,"36-45",
TRUE,"45+"
)</f>
        <v>25-35</v>
      </c>
      <c r="AO1435" t="str" cm="1">
        <f t="array" ref="AO1435">_xlfn.IFS(S1435&lt;5000,"Low",
S1435&lt;=15000,"Medium",
TRUE,"High")</f>
        <v>Low</v>
      </c>
    </row>
    <row r="1436" spans="1:41" hidden="1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 t="str">
        <f t="shared" si="66"/>
        <v>Active</v>
      </c>
      <c r="AK1436">
        <f t="shared" ca="1" si="67"/>
        <v>2009</v>
      </c>
      <c r="AL1436">
        <f t="shared" si="68"/>
        <v>0</v>
      </c>
      <c r="AM1436" t="e" cm="1">
        <f t="array" aca="1" ref="AM1436" ca="1">IF(B1436="Yes",YEAR(TODAY()),BLANK())</f>
        <v>#NAME?</v>
      </c>
      <c r="AN1436" t="str" cm="1">
        <f t="array" ref="AN1436" xml:space="preserve"> _xlfn.IFS(A1436&lt;25,"&lt;25",
A1436&lt;=35,"25-35",
A1436&lt;=45,"36-45",
TRUE,"45+"
)</f>
        <v>45+</v>
      </c>
      <c r="AO1436" t="str" cm="1">
        <f t="array" ref="AO1436">_xlfn.IFS(S1436&lt;5000,"Low",
S1436&lt;=15000,"Medium",
TRUE,"High")</f>
        <v>Low</v>
      </c>
    </row>
    <row r="1437" spans="1:41" hidden="1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 t="str">
        <f t="shared" si="66"/>
        <v>Active</v>
      </c>
      <c r="AK1437">
        <f t="shared" ca="1" si="67"/>
        <v>2019</v>
      </c>
      <c r="AL1437">
        <f t="shared" si="68"/>
        <v>0</v>
      </c>
      <c r="AM1437" t="e" cm="1">
        <f t="array" aca="1" ref="AM1437" ca="1">IF(B1437="Yes",YEAR(TODAY()),BLANK())</f>
        <v>#NAME?</v>
      </c>
      <c r="AN1437" t="str" cm="1">
        <f t="array" ref="AN1437" xml:space="preserve"> _xlfn.IFS(A1437&lt;25,"&lt;25",
A1437&lt;=35,"25-35",
A1437&lt;=45,"36-45",
TRUE,"45+"
)</f>
        <v>36-45</v>
      </c>
      <c r="AO1437" t="str" cm="1">
        <f t="array" ref="AO1437">_xlfn.IFS(S1437&lt;5000,"Low",
S1437&lt;=15000,"Medium",
TRUE,"High")</f>
        <v>Low</v>
      </c>
    </row>
    <row r="1438" spans="1:41" hidden="1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 t="str">
        <f t="shared" si="66"/>
        <v>Active</v>
      </c>
      <c r="AK1438">
        <f t="shared" ca="1" si="67"/>
        <v>2023</v>
      </c>
      <c r="AL1438">
        <f t="shared" si="68"/>
        <v>0</v>
      </c>
      <c r="AM1438" t="e" cm="1">
        <f t="array" aca="1" ref="AM1438" ca="1">IF(B1438="Yes",YEAR(TODAY()),BLANK())</f>
        <v>#NAME?</v>
      </c>
      <c r="AN1438" t="str" cm="1">
        <f t="array" ref="AN1438" xml:space="preserve"> _xlfn.IFS(A1438&lt;25,"&lt;25",
A1438&lt;=35,"25-35",
A1438&lt;=45,"36-45",
TRUE,"45+"
)</f>
        <v>&lt;25</v>
      </c>
      <c r="AO1438" t="str" cm="1">
        <f t="array" ref="AO1438">_xlfn.IFS(S1438&lt;5000,"Low",
S1438&lt;=15000,"Medium",
TRUE,"High")</f>
        <v>Low</v>
      </c>
    </row>
    <row r="1439" spans="1:41" hidden="1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 t="str">
        <f t="shared" si="66"/>
        <v>Active</v>
      </c>
      <c r="AK1439">
        <f t="shared" ca="1" si="67"/>
        <v>2004</v>
      </c>
      <c r="AL1439">
        <f t="shared" si="68"/>
        <v>0</v>
      </c>
      <c r="AM1439" t="e" cm="1">
        <f t="array" aca="1" ref="AM1439" ca="1">IF(B1439="Yes",YEAR(TODAY()),BLANK())</f>
        <v>#NAME?</v>
      </c>
      <c r="AN1439" t="str" cm="1">
        <f t="array" ref="AN1439" xml:space="preserve"> _xlfn.IFS(A1439&lt;25,"&lt;25",
A1439&lt;=35,"25-35",
A1439&lt;=45,"36-45",
TRUE,"45+"
)</f>
        <v>36-45</v>
      </c>
      <c r="AO1439" t="str" cm="1">
        <f t="array" ref="AO1439">_xlfn.IFS(S1439&lt;5000,"Low",
S1439&lt;=15000,"Medium",
TRUE,"High")</f>
        <v>High</v>
      </c>
    </row>
    <row r="1440" spans="1:41" hidden="1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 t="str">
        <f t="shared" si="66"/>
        <v>Resigned</v>
      </c>
      <c r="AK1440">
        <f t="shared" ca="1" si="67"/>
        <v>2024</v>
      </c>
      <c r="AL1440">
        <f t="shared" si="68"/>
        <v>1</v>
      </c>
      <c r="AM1440" cm="1">
        <f t="array" aca="1" ref="AM1440" ca="1">IF(B1440="Yes",YEAR(TODAY()),BLANK())</f>
        <v>2025</v>
      </c>
      <c r="AN1440" t="str" cm="1">
        <f t="array" ref="AN1440" xml:space="preserve"> _xlfn.IFS(A1440&lt;25,"&lt;25",
A1440&lt;=35,"25-35",
A1440&lt;=45,"36-45",
TRUE,"45+"
)</f>
        <v>&lt;25</v>
      </c>
      <c r="AO1440" t="str" cm="1">
        <f t="array" ref="AO1440">_xlfn.IFS(S1440&lt;5000,"Low",
S1440&lt;=15000,"Medium",
TRUE,"High")</f>
        <v>Low</v>
      </c>
    </row>
    <row r="1441" spans="1:41" hidden="1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 t="str">
        <f t="shared" si="66"/>
        <v>Active</v>
      </c>
      <c r="AK1441">
        <f t="shared" ca="1" si="67"/>
        <v>2015</v>
      </c>
      <c r="AL1441">
        <f t="shared" si="68"/>
        <v>0</v>
      </c>
      <c r="AM1441" t="e" cm="1">
        <f t="array" aca="1" ref="AM1441" ca="1">IF(B1441="Yes",YEAR(TODAY()),BLANK())</f>
        <v>#NAME?</v>
      </c>
      <c r="AN1441" t="str" cm="1">
        <f t="array" ref="AN1441" xml:space="preserve"> _xlfn.IFS(A1441&lt;25,"&lt;25",
A1441&lt;=35,"25-35",
A1441&lt;=45,"36-45",
TRUE,"45+"
)</f>
        <v>36-45</v>
      </c>
      <c r="AO1441" t="str" cm="1">
        <f t="array" ref="AO1441">_xlfn.IFS(S1441&lt;5000,"Low",
S1441&lt;=15000,"Medium",
TRUE,"High")</f>
        <v>Medium</v>
      </c>
    </row>
    <row r="1442" spans="1:41" hidden="1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 t="str">
        <f t="shared" si="66"/>
        <v>Active</v>
      </c>
      <c r="AK1442">
        <f t="shared" ca="1" si="67"/>
        <v>2007</v>
      </c>
      <c r="AL1442">
        <f t="shared" si="68"/>
        <v>0</v>
      </c>
      <c r="AM1442" t="e" cm="1">
        <f t="array" aca="1" ref="AM1442" ca="1">IF(B1442="Yes",YEAR(TODAY()),BLANK())</f>
        <v>#NAME?</v>
      </c>
      <c r="AN1442" t="str" cm="1">
        <f t="array" ref="AN1442" xml:space="preserve"> _xlfn.IFS(A1442&lt;25,"&lt;25",
A1442&lt;=35,"25-35",
A1442&lt;=45,"36-45",
TRUE,"45+"
)</f>
        <v>36-45</v>
      </c>
      <c r="AO1442" t="str" cm="1">
        <f t="array" ref="AO1442">_xlfn.IFS(S1442&lt;5000,"Low",
S1442&lt;=15000,"Medium",
TRUE,"High")</f>
        <v>Medium</v>
      </c>
    </row>
    <row r="1443" spans="1:41" hidden="1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 t="str">
        <f t="shared" si="66"/>
        <v>Active</v>
      </c>
      <c r="AK1443">
        <f t="shared" ca="1" si="67"/>
        <v>2012</v>
      </c>
      <c r="AL1443">
        <f t="shared" si="68"/>
        <v>0</v>
      </c>
      <c r="AM1443" t="e" cm="1">
        <f t="array" aca="1" ref="AM1443" ca="1">IF(B1443="Yes",YEAR(TODAY()),BLANK())</f>
        <v>#NAME?</v>
      </c>
      <c r="AN1443" t="str" cm="1">
        <f t="array" ref="AN1443" xml:space="preserve"> _xlfn.IFS(A1443&lt;25,"&lt;25",
A1443&lt;=35,"25-35",
A1443&lt;=45,"36-45",
TRUE,"45+"
)</f>
        <v>45+</v>
      </c>
      <c r="AO1443" t="str" cm="1">
        <f t="array" ref="AO1443">_xlfn.IFS(S1443&lt;5000,"Low",
S1443&lt;=15000,"Medium",
TRUE,"High")</f>
        <v>Medium</v>
      </c>
    </row>
    <row r="1444" spans="1:41" hidden="1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 t="str">
        <f t="shared" si="66"/>
        <v>Resigned</v>
      </c>
      <c r="AK1444">
        <f t="shared" ca="1" si="67"/>
        <v>2021</v>
      </c>
      <c r="AL1444">
        <f t="shared" si="68"/>
        <v>1</v>
      </c>
      <c r="AM1444" cm="1">
        <f t="array" aca="1" ref="AM1444" ca="1">IF(B1444="Yes",YEAR(TODAY()),BLANK())</f>
        <v>2025</v>
      </c>
      <c r="AN1444" t="str" cm="1">
        <f t="array" ref="AN1444" xml:space="preserve"> _xlfn.IFS(A1444&lt;25,"&lt;25",
A1444&lt;=35,"25-35",
A1444&lt;=45,"36-45",
TRUE,"45+"
)</f>
        <v>25-35</v>
      </c>
      <c r="AO1444" t="str" cm="1">
        <f t="array" ref="AO1444">_xlfn.IFS(S1444&lt;5000,"Low",
S1444&lt;=15000,"Medium",
TRUE,"High")</f>
        <v>Low</v>
      </c>
    </row>
    <row r="1445" spans="1:41" hidden="1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 t="str">
        <f t="shared" si="66"/>
        <v>Active</v>
      </c>
      <c r="AK1445">
        <f t="shared" ca="1" si="67"/>
        <v>2001</v>
      </c>
      <c r="AL1445">
        <f t="shared" si="68"/>
        <v>0</v>
      </c>
      <c r="AM1445" t="e" cm="1">
        <f t="array" aca="1" ref="AM1445" ca="1">IF(B1445="Yes",YEAR(TODAY()),BLANK())</f>
        <v>#NAME?</v>
      </c>
      <c r="AN1445" t="str" cm="1">
        <f t="array" ref="AN1445" xml:space="preserve"> _xlfn.IFS(A1445&lt;25,"&lt;25",
A1445&lt;=35,"25-35",
A1445&lt;=45,"36-45",
TRUE,"45+"
)</f>
        <v>36-45</v>
      </c>
      <c r="AO1445" t="str" cm="1">
        <f t="array" ref="AO1445">_xlfn.IFS(S1445&lt;5000,"Low",
S1445&lt;=15000,"Medium",
TRUE,"High")</f>
        <v>High</v>
      </c>
    </row>
    <row r="1446" spans="1:41" hidden="1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 t="str">
        <f t="shared" si="66"/>
        <v>Resigned</v>
      </c>
      <c r="AK1446">
        <f t="shared" ca="1" si="67"/>
        <v>2011</v>
      </c>
      <c r="AL1446">
        <f t="shared" si="68"/>
        <v>1</v>
      </c>
      <c r="AM1446" cm="1">
        <f t="array" aca="1" ref="AM1446" ca="1">IF(B1446="Yes",YEAR(TODAY()),BLANK())</f>
        <v>2025</v>
      </c>
      <c r="AN1446" t="str" cm="1">
        <f t="array" ref="AN1446" xml:space="preserve"> _xlfn.IFS(A1446&lt;25,"&lt;25",
A1446&lt;=35,"25-35",
A1446&lt;=45,"36-45",
TRUE,"45+"
)</f>
        <v>45+</v>
      </c>
      <c r="AO1446" t="str" cm="1">
        <f t="array" ref="AO1446">_xlfn.IFS(S1446&lt;5000,"Low",
S1446&lt;=15000,"Medium",
TRUE,"High")</f>
        <v>Low</v>
      </c>
    </row>
    <row r="1447" spans="1:41" hidden="1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 t="str">
        <f t="shared" si="66"/>
        <v>Active</v>
      </c>
      <c r="AK1447">
        <f t="shared" ca="1" si="67"/>
        <v>2004</v>
      </c>
      <c r="AL1447">
        <f t="shared" si="68"/>
        <v>0</v>
      </c>
      <c r="AM1447" t="e" cm="1">
        <f t="array" aca="1" ref="AM1447" ca="1">IF(B1447="Yes",YEAR(TODAY()),BLANK())</f>
        <v>#NAME?</v>
      </c>
      <c r="AN1447" t="str" cm="1">
        <f t="array" ref="AN1447" xml:space="preserve"> _xlfn.IFS(A1447&lt;25,"&lt;25",
A1447&lt;=35,"25-35",
A1447&lt;=45,"36-45",
TRUE,"45+"
)</f>
        <v>36-45</v>
      </c>
      <c r="AO1447" t="str" cm="1">
        <f t="array" ref="AO1447">_xlfn.IFS(S1447&lt;5000,"Low",
S1447&lt;=15000,"Medium",
TRUE,"High")</f>
        <v>Medium</v>
      </c>
    </row>
    <row r="1448" spans="1:41" hidden="1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 t="str">
        <f t="shared" si="66"/>
        <v>Active</v>
      </c>
      <c r="AK1448">
        <f t="shared" ca="1" si="67"/>
        <v>2017</v>
      </c>
      <c r="AL1448">
        <f t="shared" si="68"/>
        <v>0</v>
      </c>
      <c r="AM1448" t="e" cm="1">
        <f t="array" aca="1" ref="AM1448" ca="1">IF(B1448="Yes",YEAR(TODAY()),BLANK())</f>
        <v>#NAME?</v>
      </c>
      <c r="AN1448" t="str" cm="1">
        <f t="array" ref="AN1448" xml:space="preserve"> _xlfn.IFS(A1448&lt;25,"&lt;25",
A1448&lt;=35,"25-35",
A1448&lt;=45,"36-45",
TRUE,"45+"
)</f>
        <v>25-35</v>
      </c>
      <c r="AO1448" t="str" cm="1">
        <f t="array" ref="AO1448">_xlfn.IFS(S1448&lt;5000,"Low",
S1448&lt;=15000,"Medium",
TRUE,"High")</f>
        <v>Medium</v>
      </c>
    </row>
    <row r="1449" spans="1:41" hidden="1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 t="str">
        <f t="shared" si="66"/>
        <v>Active</v>
      </c>
      <c r="AK1449">
        <f t="shared" ca="1" si="67"/>
        <v>2010</v>
      </c>
      <c r="AL1449">
        <f t="shared" si="68"/>
        <v>0</v>
      </c>
      <c r="AM1449" t="e" cm="1">
        <f t="array" aca="1" ref="AM1449" ca="1">IF(B1449="Yes",YEAR(TODAY()),BLANK())</f>
        <v>#NAME?</v>
      </c>
      <c r="AN1449" t="str" cm="1">
        <f t="array" ref="AN1449" xml:space="preserve"> _xlfn.IFS(A1449&lt;25,"&lt;25",
A1449&lt;=35,"25-35",
A1449&lt;=45,"36-45",
TRUE,"45+"
)</f>
        <v>36-45</v>
      </c>
      <c r="AO1449" t="str" cm="1">
        <f t="array" ref="AO1449">_xlfn.IFS(S1449&lt;5000,"Low",
S1449&lt;=15000,"Medium",
TRUE,"High")</f>
        <v>Medium</v>
      </c>
    </row>
    <row r="1450" spans="1:41" hidden="1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 t="str">
        <f t="shared" si="66"/>
        <v>Active</v>
      </c>
      <c r="AK1450">
        <f t="shared" ca="1" si="67"/>
        <v>2011</v>
      </c>
      <c r="AL1450">
        <f t="shared" si="68"/>
        <v>0</v>
      </c>
      <c r="AM1450" t="e" cm="1">
        <f t="array" aca="1" ref="AM1450" ca="1">IF(B1450="Yes",YEAR(TODAY()),BLANK())</f>
        <v>#NAME?</v>
      </c>
      <c r="AN1450" t="str" cm="1">
        <f t="array" ref="AN1450" xml:space="preserve"> _xlfn.IFS(A1450&lt;25,"&lt;25",
A1450&lt;=35,"25-35",
A1450&lt;=45,"36-45",
TRUE,"45+"
)</f>
        <v>36-45</v>
      </c>
      <c r="AO1450" t="str" cm="1">
        <f t="array" ref="AO1450">_xlfn.IFS(S1450&lt;5000,"Low",
S1450&lt;=15000,"Medium",
TRUE,"High")</f>
        <v>Medium</v>
      </c>
    </row>
    <row r="1451" spans="1:41" hidden="1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 t="str">
        <f t="shared" si="66"/>
        <v>Active</v>
      </c>
      <c r="AK1451">
        <f t="shared" ca="1" si="67"/>
        <v>2021</v>
      </c>
      <c r="AL1451">
        <f t="shared" si="68"/>
        <v>0</v>
      </c>
      <c r="AM1451" t="e" cm="1">
        <f t="array" aca="1" ref="AM1451" ca="1">IF(B1451="Yes",YEAR(TODAY()),BLANK())</f>
        <v>#NAME?</v>
      </c>
      <c r="AN1451" t="str" cm="1">
        <f t="array" ref="AN1451" xml:space="preserve"> _xlfn.IFS(A1451&lt;25,"&lt;25",
A1451&lt;=35,"25-35",
A1451&lt;=45,"36-45",
TRUE,"45+"
)</f>
        <v>25-35</v>
      </c>
      <c r="AO1451" t="str" cm="1">
        <f t="array" ref="AO1451">_xlfn.IFS(S1451&lt;5000,"Low",
S1451&lt;=15000,"Medium",
TRUE,"High")</f>
        <v>Low</v>
      </c>
    </row>
    <row r="1452" spans="1:41" hidden="1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 t="str">
        <f t="shared" si="66"/>
        <v>Active</v>
      </c>
      <c r="AK1452">
        <f t="shared" ca="1" si="67"/>
        <v>2016</v>
      </c>
      <c r="AL1452">
        <f t="shared" si="68"/>
        <v>0</v>
      </c>
      <c r="AM1452" t="e" cm="1">
        <f t="array" aca="1" ref="AM1452" ca="1">IF(B1452="Yes",YEAR(TODAY()),BLANK())</f>
        <v>#NAME?</v>
      </c>
      <c r="AN1452" t="str" cm="1">
        <f t="array" ref="AN1452" xml:space="preserve"> _xlfn.IFS(A1452&lt;25,"&lt;25",
A1452&lt;=35,"25-35",
A1452&lt;=45,"36-45",
TRUE,"45+"
)</f>
        <v>25-35</v>
      </c>
      <c r="AO1452" t="str" cm="1">
        <f t="array" ref="AO1452">_xlfn.IFS(S1452&lt;5000,"Low",
S1452&lt;=15000,"Medium",
TRUE,"High")</f>
        <v>Medium</v>
      </c>
    </row>
    <row r="1453" spans="1:41" hidden="1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 t="str">
        <f t="shared" si="66"/>
        <v>Active</v>
      </c>
      <c r="AK1453">
        <f t="shared" ca="1" si="67"/>
        <v>2015</v>
      </c>
      <c r="AL1453">
        <f t="shared" si="68"/>
        <v>0</v>
      </c>
      <c r="AM1453" t="e" cm="1">
        <f t="array" aca="1" ref="AM1453" ca="1">IF(B1453="Yes",YEAR(TODAY()),BLANK())</f>
        <v>#NAME?</v>
      </c>
      <c r="AN1453" t="str" cm="1">
        <f t="array" ref="AN1453" xml:space="preserve"> _xlfn.IFS(A1453&lt;25,"&lt;25",
A1453&lt;=35,"25-35",
A1453&lt;=45,"36-45",
TRUE,"45+"
)</f>
        <v>36-45</v>
      </c>
      <c r="AO1453" t="str" cm="1">
        <f t="array" ref="AO1453">_xlfn.IFS(S1453&lt;5000,"Low",
S1453&lt;=15000,"Medium",
TRUE,"High")</f>
        <v>Medium</v>
      </c>
    </row>
    <row r="1454" spans="1:41" hidden="1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 t="str">
        <f t="shared" si="66"/>
        <v>Resigned</v>
      </c>
      <c r="AK1454">
        <f t="shared" ca="1" si="67"/>
        <v>2013</v>
      </c>
      <c r="AL1454">
        <f t="shared" si="68"/>
        <v>1</v>
      </c>
      <c r="AM1454" cm="1">
        <f t="array" aca="1" ref="AM1454" ca="1">IF(B1454="Yes",YEAR(TODAY()),BLANK())</f>
        <v>2025</v>
      </c>
      <c r="AN1454" t="str" cm="1">
        <f t="array" ref="AN1454" xml:space="preserve"> _xlfn.IFS(A1454&lt;25,"&lt;25",
A1454&lt;=35,"25-35",
A1454&lt;=45,"36-45",
TRUE,"45+"
)</f>
        <v>45+</v>
      </c>
      <c r="AO1454" t="str" cm="1">
        <f t="array" ref="AO1454">_xlfn.IFS(S1454&lt;5000,"Low",
S1454&lt;=15000,"Medium",
TRUE,"High")</f>
        <v>Medium</v>
      </c>
    </row>
    <row r="1455" spans="1:41" hidden="1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 t="str">
        <f t="shared" si="66"/>
        <v>Active</v>
      </c>
      <c r="AK1455">
        <f t="shared" ca="1" si="67"/>
        <v>2017</v>
      </c>
      <c r="AL1455">
        <f t="shared" si="68"/>
        <v>0</v>
      </c>
      <c r="AM1455" t="e" cm="1">
        <f t="array" aca="1" ref="AM1455" ca="1">IF(B1455="Yes",YEAR(TODAY()),BLANK())</f>
        <v>#NAME?</v>
      </c>
      <c r="AN1455" t="str" cm="1">
        <f t="array" ref="AN1455" xml:space="preserve"> _xlfn.IFS(A1455&lt;25,"&lt;25",
A1455&lt;=35,"25-35",
A1455&lt;=45,"36-45",
TRUE,"45+"
)</f>
        <v>36-45</v>
      </c>
      <c r="AO1455" t="str" cm="1">
        <f t="array" ref="AO1455">_xlfn.IFS(S1455&lt;5000,"Low",
S1455&lt;=15000,"Medium",
TRUE,"High")</f>
        <v>Medium</v>
      </c>
    </row>
    <row r="1456" spans="1:41" hidden="1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 t="str">
        <f t="shared" si="66"/>
        <v>Active</v>
      </c>
      <c r="AK1456">
        <f t="shared" ca="1" si="67"/>
        <v>2017</v>
      </c>
      <c r="AL1456">
        <f t="shared" si="68"/>
        <v>0</v>
      </c>
      <c r="AM1456" t="e" cm="1">
        <f t="array" aca="1" ref="AM1456" ca="1">IF(B1456="Yes",YEAR(TODAY()),BLANK())</f>
        <v>#NAME?</v>
      </c>
      <c r="AN1456" t="str" cm="1">
        <f t="array" ref="AN1456" xml:space="preserve"> _xlfn.IFS(A1456&lt;25,"&lt;25",
A1456&lt;=35,"25-35",
A1456&lt;=45,"36-45",
TRUE,"45+"
)</f>
        <v>36-45</v>
      </c>
      <c r="AO1456" t="str" cm="1">
        <f t="array" ref="AO1456">_xlfn.IFS(S1456&lt;5000,"Low",
S1456&lt;=15000,"Medium",
TRUE,"High")</f>
        <v>Low</v>
      </c>
    </row>
    <row r="1457" spans="1:41" hidden="1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 t="str">
        <f t="shared" si="66"/>
        <v>Active</v>
      </c>
      <c r="AK1457">
        <f t="shared" ca="1" si="67"/>
        <v>2017</v>
      </c>
      <c r="AL1457">
        <f t="shared" si="68"/>
        <v>0</v>
      </c>
      <c r="AM1457" t="e" cm="1">
        <f t="array" aca="1" ref="AM1457" ca="1">IF(B1457="Yes",YEAR(TODAY()),BLANK())</f>
        <v>#NAME?</v>
      </c>
      <c r="AN1457" t="str" cm="1">
        <f t="array" ref="AN1457" xml:space="preserve"> _xlfn.IFS(A1457&lt;25,"&lt;25",
A1457&lt;=35,"25-35",
A1457&lt;=45,"36-45",
TRUE,"45+"
)</f>
        <v>36-45</v>
      </c>
      <c r="AO1457" t="str" cm="1">
        <f t="array" ref="AO1457">_xlfn.IFS(S1457&lt;5000,"Low",
S1457&lt;=15000,"Medium",
TRUE,"High")</f>
        <v>Low</v>
      </c>
    </row>
    <row r="1458" spans="1:41" hidden="1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 t="str">
        <f t="shared" si="66"/>
        <v>Active</v>
      </c>
      <c r="AK1458">
        <f t="shared" ca="1" si="67"/>
        <v>2015</v>
      </c>
      <c r="AL1458">
        <f t="shared" si="68"/>
        <v>0</v>
      </c>
      <c r="AM1458" t="e" cm="1">
        <f t="array" aca="1" ref="AM1458" ca="1">IF(B1458="Yes",YEAR(TODAY()),BLANK())</f>
        <v>#NAME?</v>
      </c>
      <c r="AN1458" t="str" cm="1">
        <f t="array" ref="AN1458" xml:space="preserve"> _xlfn.IFS(A1458&lt;25,"&lt;25",
A1458&lt;=35,"25-35",
A1458&lt;=45,"36-45",
TRUE,"45+"
)</f>
        <v>25-35</v>
      </c>
      <c r="AO1458" t="str" cm="1">
        <f t="array" ref="AO1458">_xlfn.IFS(S1458&lt;5000,"Low",
S1458&lt;=15000,"Medium",
TRUE,"High")</f>
        <v>Medium</v>
      </c>
    </row>
    <row r="1459" spans="1:41" hidden="1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 t="str">
        <f t="shared" si="66"/>
        <v>Active</v>
      </c>
      <c r="AK1459">
        <f t="shared" ca="1" si="67"/>
        <v>2005</v>
      </c>
      <c r="AL1459">
        <f t="shared" si="68"/>
        <v>0</v>
      </c>
      <c r="AM1459" t="e" cm="1">
        <f t="array" aca="1" ref="AM1459" ca="1">IF(B1459="Yes",YEAR(TODAY()),BLANK())</f>
        <v>#NAME?</v>
      </c>
      <c r="AN1459" t="str" cm="1">
        <f t="array" ref="AN1459" xml:space="preserve"> _xlfn.IFS(A1459&lt;25,"&lt;25",
A1459&lt;=35,"25-35",
A1459&lt;=45,"36-45",
TRUE,"45+"
)</f>
        <v>36-45</v>
      </c>
      <c r="AO1459" t="str" cm="1">
        <f t="array" ref="AO1459">_xlfn.IFS(S1459&lt;5000,"Low",
S1459&lt;=15000,"Medium",
TRUE,"High")</f>
        <v>Low</v>
      </c>
    </row>
    <row r="1460" spans="1:41" hidden="1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 t="str">
        <f t="shared" si="66"/>
        <v>Active</v>
      </c>
      <c r="AK1460">
        <f t="shared" ca="1" si="67"/>
        <v>2021</v>
      </c>
      <c r="AL1460">
        <f t="shared" si="68"/>
        <v>0</v>
      </c>
      <c r="AM1460" t="e" cm="1">
        <f t="array" aca="1" ref="AM1460" ca="1">IF(B1460="Yes",YEAR(TODAY()),BLANK())</f>
        <v>#NAME?</v>
      </c>
      <c r="AN1460" t="str" cm="1">
        <f t="array" ref="AN1460" xml:space="preserve"> _xlfn.IFS(A1460&lt;25,"&lt;25",
A1460&lt;=35,"25-35",
A1460&lt;=45,"36-45",
TRUE,"45+"
)</f>
        <v>25-35</v>
      </c>
      <c r="AO1460" t="str" cm="1">
        <f t="array" ref="AO1460">_xlfn.IFS(S1460&lt;5000,"Low",
S1460&lt;=15000,"Medium",
TRUE,"High")</f>
        <v>Low</v>
      </c>
    </row>
    <row r="1461" spans="1:41" hidden="1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 t="str">
        <f t="shared" si="66"/>
        <v>Active</v>
      </c>
      <c r="AK1461">
        <f t="shared" ca="1" si="67"/>
        <v>2015</v>
      </c>
      <c r="AL1461">
        <f t="shared" si="68"/>
        <v>0</v>
      </c>
      <c r="AM1461" t="e" cm="1">
        <f t="array" aca="1" ref="AM1461" ca="1">IF(B1461="Yes",YEAR(TODAY()),BLANK())</f>
        <v>#NAME?</v>
      </c>
      <c r="AN1461" t="str" cm="1">
        <f t="array" ref="AN1461" xml:space="preserve"> _xlfn.IFS(A1461&lt;25,"&lt;25",
A1461&lt;=35,"25-35",
A1461&lt;=45,"36-45",
TRUE,"45+"
)</f>
        <v>25-35</v>
      </c>
      <c r="AO1461" t="str" cm="1">
        <f t="array" ref="AO1461">_xlfn.IFS(S1461&lt;5000,"Low",
S1461&lt;=15000,"Medium",
TRUE,"High")</f>
        <v>Low</v>
      </c>
    </row>
    <row r="1462" spans="1:41" hidden="1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 t="str">
        <f t="shared" si="66"/>
        <v>Active</v>
      </c>
      <c r="AK1462">
        <f t="shared" ca="1" si="67"/>
        <v>2020</v>
      </c>
      <c r="AL1462">
        <f t="shared" si="68"/>
        <v>0</v>
      </c>
      <c r="AM1462" t="e" cm="1">
        <f t="array" aca="1" ref="AM1462" ca="1">IF(B1462="Yes",YEAR(TODAY()),BLANK())</f>
        <v>#NAME?</v>
      </c>
      <c r="AN1462" t="str" cm="1">
        <f t="array" ref="AN1462" xml:space="preserve"> _xlfn.IFS(A1462&lt;25,"&lt;25",
A1462&lt;=35,"25-35",
A1462&lt;=45,"36-45",
TRUE,"45+"
)</f>
        <v>25-35</v>
      </c>
      <c r="AO1462" t="str" cm="1">
        <f t="array" ref="AO1462">_xlfn.IFS(S1462&lt;5000,"Low",
S1462&lt;=15000,"Medium",
TRUE,"High")</f>
        <v>Low</v>
      </c>
    </row>
    <row r="1463" spans="1:41" hidden="1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 t="str">
        <f t="shared" si="66"/>
        <v>Resigned</v>
      </c>
      <c r="AK1463">
        <f t="shared" ca="1" si="67"/>
        <v>2005</v>
      </c>
      <c r="AL1463">
        <f t="shared" si="68"/>
        <v>1</v>
      </c>
      <c r="AM1463" cm="1">
        <f t="array" aca="1" ref="AM1463" ca="1">IF(B1463="Yes",YEAR(TODAY()),BLANK())</f>
        <v>2025</v>
      </c>
      <c r="AN1463" t="str" cm="1">
        <f t="array" ref="AN1463" xml:space="preserve"> _xlfn.IFS(A1463&lt;25,"&lt;25",
A1463&lt;=35,"25-35",
A1463&lt;=45,"36-45",
TRUE,"45+"
)</f>
        <v>45+</v>
      </c>
      <c r="AO1463" t="str" cm="1">
        <f t="array" ref="AO1463">_xlfn.IFS(S1463&lt;5000,"Low",
S1463&lt;=15000,"Medium",
TRUE,"High")</f>
        <v>Medium</v>
      </c>
    </row>
    <row r="1464" spans="1:41" hidden="1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 t="str">
        <f t="shared" si="66"/>
        <v>Active</v>
      </c>
      <c r="AK1464">
        <f t="shared" ca="1" si="67"/>
        <v>2004</v>
      </c>
      <c r="AL1464">
        <f t="shared" si="68"/>
        <v>0</v>
      </c>
      <c r="AM1464" t="e" cm="1">
        <f t="array" aca="1" ref="AM1464" ca="1">IF(B1464="Yes",YEAR(TODAY()),BLANK())</f>
        <v>#NAME?</v>
      </c>
      <c r="AN1464" t="str" cm="1">
        <f t="array" ref="AN1464" xml:space="preserve"> _xlfn.IFS(A1464&lt;25,"&lt;25",
A1464&lt;=35,"25-35",
A1464&lt;=45,"36-45",
TRUE,"45+"
)</f>
        <v>36-45</v>
      </c>
      <c r="AO1464" t="str" cm="1">
        <f t="array" ref="AO1464">_xlfn.IFS(S1464&lt;5000,"Low",
S1464&lt;=15000,"Medium",
TRUE,"High")</f>
        <v>Medium</v>
      </c>
    </row>
    <row r="1465" spans="1:41" hidden="1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 t="str">
        <f t="shared" si="66"/>
        <v>Active</v>
      </c>
      <c r="AK1465">
        <f t="shared" ca="1" si="67"/>
        <v>2015</v>
      </c>
      <c r="AL1465">
        <f t="shared" si="68"/>
        <v>0</v>
      </c>
      <c r="AM1465" t="e" cm="1">
        <f t="array" aca="1" ref="AM1465" ca="1">IF(B1465="Yes",YEAR(TODAY()),BLANK())</f>
        <v>#NAME?</v>
      </c>
      <c r="AN1465" t="str" cm="1">
        <f t="array" ref="AN1465" xml:space="preserve"> _xlfn.IFS(A1465&lt;25,"&lt;25",
A1465&lt;=35,"25-35",
A1465&lt;=45,"36-45",
TRUE,"45+"
)</f>
        <v>25-35</v>
      </c>
      <c r="AO1465" t="str" cm="1">
        <f t="array" ref="AO1465">_xlfn.IFS(S1465&lt;5000,"Low",
S1465&lt;=15000,"Medium",
TRUE,"High")</f>
        <v>Medium</v>
      </c>
    </row>
    <row r="1466" spans="1:41" hidden="1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 t="str">
        <f t="shared" si="66"/>
        <v>Active</v>
      </c>
      <c r="AK1466">
        <f t="shared" ca="1" si="67"/>
        <v>2020</v>
      </c>
      <c r="AL1466">
        <f t="shared" si="68"/>
        <v>0</v>
      </c>
      <c r="AM1466" t="e" cm="1">
        <f t="array" aca="1" ref="AM1466" ca="1">IF(B1466="Yes",YEAR(TODAY()),BLANK())</f>
        <v>#NAME?</v>
      </c>
      <c r="AN1466" t="str" cm="1">
        <f t="array" ref="AN1466" xml:space="preserve"> _xlfn.IFS(A1466&lt;25,"&lt;25",
A1466&lt;=35,"25-35",
A1466&lt;=45,"36-45",
TRUE,"45+"
)</f>
        <v>25-35</v>
      </c>
      <c r="AO1466" t="str" cm="1">
        <f t="array" ref="AO1466">_xlfn.IFS(S1466&lt;5000,"Low",
S1466&lt;=15000,"Medium",
TRUE,"High")</f>
        <v>Low</v>
      </c>
    </row>
    <row r="1467" spans="1:41" hidden="1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 t="str">
        <f t="shared" si="66"/>
        <v>Active</v>
      </c>
      <c r="AK1467">
        <f t="shared" ca="1" si="67"/>
        <v>2008</v>
      </c>
      <c r="AL1467">
        <f t="shared" si="68"/>
        <v>0</v>
      </c>
      <c r="AM1467" t="e" cm="1">
        <f t="array" aca="1" ref="AM1467" ca="1">IF(B1467="Yes",YEAR(TODAY()),BLANK())</f>
        <v>#NAME?</v>
      </c>
      <c r="AN1467" t="str" cm="1">
        <f t="array" ref="AN1467" xml:space="preserve"> _xlfn.IFS(A1467&lt;25,"&lt;25",
A1467&lt;=35,"25-35",
A1467&lt;=45,"36-45",
TRUE,"45+"
)</f>
        <v>36-45</v>
      </c>
      <c r="AO1467" t="str" cm="1">
        <f t="array" ref="AO1467">_xlfn.IFS(S1467&lt;5000,"Low",
S1467&lt;=15000,"Medium",
TRUE,"High")</f>
        <v>Low</v>
      </c>
    </row>
    <row r="1468" spans="1:41" hidden="1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 t="str">
        <f t="shared" si="66"/>
        <v>Active</v>
      </c>
      <c r="AK1468">
        <f t="shared" ca="1" si="67"/>
        <v>2016</v>
      </c>
      <c r="AL1468">
        <f t="shared" si="68"/>
        <v>0</v>
      </c>
      <c r="AM1468" t="e" cm="1">
        <f t="array" aca="1" ref="AM1468" ca="1">IF(B1468="Yes",YEAR(TODAY()),BLANK())</f>
        <v>#NAME?</v>
      </c>
      <c r="AN1468" t="str" cm="1">
        <f t="array" ref="AN1468" xml:space="preserve"> _xlfn.IFS(A1468&lt;25,"&lt;25",
A1468&lt;=35,"25-35",
A1468&lt;=45,"36-45",
TRUE,"45+"
)</f>
        <v>36-45</v>
      </c>
      <c r="AO1468" t="str" cm="1">
        <f t="array" ref="AO1468">_xlfn.IFS(S1468&lt;5000,"Low",
S1468&lt;=15000,"Medium",
TRUE,"High")</f>
        <v>Medium</v>
      </c>
    </row>
    <row r="1469" spans="1:41" hidden="1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 t="str">
        <f t="shared" si="66"/>
        <v>Active</v>
      </c>
      <c r="AK1469">
        <f t="shared" ca="1" si="67"/>
        <v>2019</v>
      </c>
      <c r="AL1469">
        <f t="shared" si="68"/>
        <v>0</v>
      </c>
      <c r="AM1469" t="e" cm="1">
        <f t="array" aca="1" ref="AM1469" ca="1">IF(B1469="Yes",YEAR(TODAY()),BLANK())</f>
        <v>#NAME?</v>
      </c>
      <c r="AN1469" t="str" cm="1">
        <f t="array" ref="AN1469" xml:space="preserve"> _xlfn.IFS(A1469&lt;25,"&lt;25",
A1469&lt;=35,"25-35",
A1469&lt;=45,"36-45",
TRUE,"45+"
)</f>
        <v>25-35</v>
      </c>
      <c r="AO1469" t="str" cm="1">
        <f t="array" ref="AO1469">_xlfn.IFS(S1469&lt;5000,"Low",
S1469&lt;=15000,"Medium",
TRUE,"High")</f>
        <v>Medium</v>
      </c>
    </row>
    <row r="1470" spans="1:41" hidden="1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 t="str">
        <f t="shared" si="66"/>
        <v>Active</v>
      </c>
      <c r="AK1470">
        <f t="shared" ca="1" si="67"/>
        <v>2008</v>
      </c>
      <c r="AL1470">
        <f t="shared" si="68"/>
        <v>0</v>
      </c>
      <c r="AM1470" t="e" cm="1">
        <f t="array" aca="1" ref="AM1470" ca="1">IF(B1470="Yes",YEAR(TODAY()),BLANK())</f>
        <v>#NAME?</v>
      </c>
      <c r="AN1470" t="str" cm="1">
        <f t="array" ref="AN1470" xml:space="preserve"> _xlfn.IFS(A1470&lt;25,"&lt;25",
A1470&lt;=35,"25-35",
A1470&lt;=45,"36-45",
TRUE,"45+"
)</f>
        <v>45+</v>
      </c>
      <c r="AO1470" t="str" cm="1">
        <f t="array" ref="AO1470">_xlfn.IFS(S1470&lt;5000,"Low",
S1470&lt;=15000,"Medium",
TRUE,"High")</f>
        <v>Medium</v>
      </c>
    </row>
    <row r="1471" spans="1:41" hidden="1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 t="str">
        <f t="shared" si="66"/>
        <v>Active</v>
      </c>
      <c r="AK1471">
        <f t="shared" ca="1" si="67"/>
        <v>2019</v>
      </c>
      <c r="AL1471">
        <f t="shared" si="68"/>
        <v>0</v>
      </c>
      <c r="AM1471" t="e" cm="1">
        <f t="array" aca="1" ref="AM1471" ca="1">IF(B1471="Yes",YEAR(TODAY()),BLANK())</f>
        <v>#NAME?</v>
      </c>
      <c r="AN1471" t="str" cm="1">
        <f t="array" ref="AN1471" xml:space="preserve"> _xlfn.IFS(A1471&lt;25,"&lt;25",
A1471&lt;=35,"25-35",
A1471&lt;=45,"36-45",
TRUE,"45+"
)</f>
        <v>25-35</v>
      </c>
      <c r="AO1471" t="str" cm="1">
        <f t="array" ref="AO1471">_xlfn.IFS(S1471&lt;5000,"Low",
S1471&lt;=15000,"Medium",
TRUE,"High")</f>
        <v>Low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HR-Employee-Attrition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Rachel Johri</cp:lastModifiedBy>
  <dcterms:created xsi:type="dcterms:W3CDTF">2025-12-13T18:49:56Z</dcterms:created>
  <dcterms:modified xsi:type="dcterms:W3CDTF">2025-12-14T16:45:48Z</dcterms:modified>
</cp:coreProperties>
</file>